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grammr Ecole\"/>
    </mc:Choice>
  </mc:AlternateContent>
  <xr:revisionPtr revIDLastSave="0" documentId="13_ncr:1_{6190578E-8407-44F8-A95F-5398E64041E1}" xr6:coauthVersionLast="47" xr6:coauthVersionMax="47" xr10:uidLastSave="{00000000-0000-0000-0000-000000000000}"/>
  <bookViews>
    <workbookView xWindow="-120" yWindow="-120" windowWidth="20730" windowHeight="11760" xr2:uid="{EA5C46A4-96B4-4406-9B67-3698B7B13E66}"/>
  </bookViews>
  <sheets>
    <sheet name="Accueil" sheetId="1" r:id="rId1"/>
    <sheet name="Comptabilité" sheetId="3" r:id="rId2"/>
    <sheet name="Etudiants" sheetId="4" r:id="rId3"/>
    <sheet name="Profs" sheetId="5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8" i="1" l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7" i="1"/>
  <c r="V5" i="1"/>
  <c r="W5" i="1"/>
  <c r="G10" i="5"/>
  <c r="D7" i="3" s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5" i="1"/>
  <c r="H16" i="3"/>
  <c r="O16" i="3"/>
  <c r="N16" i="3"/>
  <c r="M16" i="3"/>
  <c r="L16" i="3"/>
  <c r="K16" i="3"/>
  <c r="J16" i="3"/>
  <c r="I16" i="3"/>
  <c r="G16" i="3"/>
  <c r="F16" i="3"/>
  <c r="E16" i="3"/>
  <c r="D16" i="3"/>
  <c r="P5" i="3"/>
  <c r="P6" i="3"/>
  <c r="P8" i="3"/>
  <c r="P4" i="3"/>
  <c r="P11" i="3"/>
  <c r="P12" i="3"/>
  <c r="P13" i="3"/>
  <c r="P14" i="3"/>
  <c r="P10" i="3"/>
  <c r="E15" i="3"/>
  <c r="F15" i="3"/>
  <c r="G15" i="3"/>
  <c r="H15" i="3"/>
  <c r="I15" i="3"/>
  <c r="J15" i="3"/>
  <c r="K15" i="3"/>
  <c r="L15" i="3"/>
  <c r="M15" i="3"/>
  <c r="N15" i="3"/>
  <c r="O15" i="3"/>
  <c r="D15" i="3"/>
  <c r="I29" i="1"/>
  <c r="E3" i="3" s="1"/>
  <c r="J29" i="1"/>
  <c r="F3" i="3" s="1"/>
  <c r="K29" i="1"/>
  <c r="G3" i="3" s="1"/>
  <c r="L29" i="1"/>
  <c r="H3" i="3" s="1"/>
  <c r="M29" i="1"/>
  <c r="I3" i="3" s="1"/>
  <c r="N29" i="1"/>
  <c r="J3" i="3" s="1"/>
  <c r="O29" i="1"/>
  <c r="K3" i="3" s="1"/>
  <c r="P29" i="1"/>
  <c r="L3" i="3" s="1"/>
  <c r="Q29" i="1"/>
  <c r="M3" i="3" s="1"/>
  <c r="R29" i="1"/>
  <c r="N3" i="3" s="1"/>
  <c r="S29" i="1"/>
  <c r="O3" i="3" s="1"/>
  <c r="H29" i="1"/>
  <c r="D3" i="3" s="1"/>
  <c r="T5" i="1"/>
  <c r="H3" i="1"/>
  <c r="I4" i="1"/>
  <c r="K4" i="1"/>
  <c r="R4" i="1"/>
  <c r="O4" i="1"/>
  <c r="H4" i="1"/>
  <c r="J4" i="1"/>
  <c r="M4" i="1"/>
  <c r="P4" i="1"/>
  <c r="S4" i="1"/>
  <c r="Q4" i="1"/>
  <c r="N4" i="1"/>
  <c r="L4" i="1"/>
  <c r="W6" i="1"/>
  <c r="V6" i="1" s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T20" i="1"/>
  <c r="T21" i="1"/>
  <c r="T22" i="1"/>
  <c r="T23" i="1"/>
  <c r="T24" i="1"/>
  <c r="T25" i="1"/>
  <c r="T26" i="1"/>
  <c r="T27" i="1"/>
  <c r="T28" i="1"/>
  <c r="T12" i="1"/>
  <c r="T13" i="1"/>
  <c r="T14" i="1"/>
  <c r="T15" i="1"/>
  <c r="T16" i="1"/>
  <c r="T17" i="1"/>
  <c r="T18" i="1"/>
  <c r="T19" i="1"/>
  <c r="T11" i="1"/>
  <c r="T6" i="1"/>
  <c r="U6" i="1" s="1"/>
  <c r="T7" i="1"/>
  <c r="U7" i="1" s="1"/>
  <c r="T8" i="1"/>
  <c r="U8" i="1" s="1"/>
  <c r="T10" i="1"/>
  <c r="P7" i="3" l="1"/>
  <c r="D9" i="3"/>
  <c r="G17" i="3" s="1"/>
  <c r="P9" i="3"/>
  <c r="P15" i="3"/>
  <c r="T9" i="1"/>
  <c r="F17" i="3" l="1"/>
  <c r="J17" i="3"/>
  <c r="E17" i="3"/>
  <c r="I17" i="3"/>
  <c r="H17" i="3"/>
  <c r="D17" i="3"/>
  <c r="L17" i="3"/>
  <c r="N17" i="3"/>
  <c r="M17" i="3"/>
  <c r="O17" i="3"/>
  <c r="K17" i="3"/>
  <c r="P3" i="3"/>
  <c r="P18" i="3" s="1"/>
  <c r="P17" i="3" l="1"/>
</calcChain>
</file>

<file path=xl/sharedStrings.xml><?xml version="1.0" encoding="utf-8"?>
<sst xmlns="http://schemas.openxmlformats.org/spreadsheetml/2006/main" count="99" uniqueCount="85">
  <si>
    <t>Nom</t>
  </si>
  <si>
    <t>CIN</t>
  </si>
  <si>
    <t>Date d'adhésion</t>
  </si>
  <si>
    <t>N° Dossier</t>
  </si>
  <si>
    <t>Mois payés</t>
  </si>
  <si>
    <t>2024/2025</t>
  </si>
  <si>
    <t>Total</t>
  </si>
  <si>
    <t>Prénom</t>
  </si>
  <si>
    <t>Téléphone</t>
  </si>
  <si>
    <t>Rappel de payement</t>
  </si>
  <si>
    <t>Message</t>
  </si>
  <si>
    <t>Janvier</t>
  </si>
  <si>
    <t>Février</t>
  </si>
  <si>
    <t>Mars</t>
  </si>
  <si>
    <t>Avril</t>
  </si>
  <si>
    <t>Septembre</t>
  </si>
  <si>
    <t>Octobre</t>
  </si>
  <si>
    <t>Novembre</t>
  </si>
  <si>
    <t>Décembre</t>
  </si>
  <si>
    <t>Revenus</t>
  </si>
  <si>
    <t>Charges fixes</t>
  </si>
  <si>
    <t>Loyer</t>
  </si>
  <si>
    <t>Entretien des locaux</t>
  </si>
  <si>
    <t>Charges variables</t>
  </si>
  <si>
    <t xml:space="preserve">Assurances </t>
  </si>
  <si>
    <t>Salaires vacataires</t>
  </si>
  <si>
    <t>Matériel de formation</t>
  </si>
  <si>
    <t>Frais de transport</t>
  </si>
  <si>
    <t>Événements spéciaux</t>
  </si>
  <si>
    <t>Publicité variable</t>
  </si>
  <si>
    <t>Bénéfice Annuel</t>
  </si>
  <si>
    <t>Bénéfice mensuel</t>
  </si>
  <si>
    <t>Frais administratifs          (salaires du personnel administratif)</t>
  </si>
  <si>
    <t>Services publics                   (électricité, eau, internet)</t>
  </si>
  <si>
    <t>Mai</t>
  </si>
  <si>
    <t>Juin</t>
  </si>
  <si>
    <t>Juillet</t>
  </si>
  <si>
    <t>Août</t>
  </si>
  <si>
    <t>Langue étudié</t>
  </si>
  <si>
    <t>Formateurs</t>
  </si>
  <si>
    <t>Najat</t>
  </si>
  <si>
    <t>Karim</t>
  </si>
  <si>
    <t>Asmae</t>
  </si>
  <si>
    <t>Hamid</t>
  </si>
  <si>
    <t>Kasssimi</t>
  </si>
  <si>
    <t>Ahmadi</t>
  </si>
  <si>
    <t>Mounir</t>
  </si>
  <si>
    <t>Lamfarab</t>
  </si>
  <si>
    <t>Salaire (dh)</t>
  </si>
  <si>
    <t>Années de Travail</t>
  </si>
  <si>
    <t>Durée de Contrat</t>
  </si>
  <si>
    <t xml:space="preserve">Matière </t>
  </si>
  <si>
    <t>Englais</t>
  </si>
  <si>
    <t>Allmend</t>
  </si>
  <si>
    <t>Espanol</t>
  </si>
  <si>
    <t>2 ans</t>
  </si>
  <si>
    <t>2 ans +</t>
  </si>
  <si>
    <t>XX0000</t>
  </si>
  <si>
    <t>XX0001</t>
  </si>
  <si>
    <t>XX0002</t>
  </si>
  <si>
    <t>XX0003</t>
  </si>
  <si>
    <t>Date de Naissance</t>
  </si>
  <si>
    <t>Adresse</t>
  </si>
  <si>
    <t>Niveau Scolaire</t>
  </si>
  <si>
    <t>Métier</t>
  </si>
  <si>
    <t>Situation familliale</t>
  </si>
  <si>
    <t>Total :</t>
  </si>
  <si>
    <t>N°</t>
  </si>
  <si>
    <t>Année</t>
  </si>
  <si>
    <t>Prix(dh)/mois</t>
  </si>
  <si>
    <t>s</t>
  </si>
  <si>
    <t>Exemple</t>
  </si>
  <si>
    <t>AB1234</t>
  </si>
  <si>
    <t>7349/24</t>
  </si>
  <si>
    <t>Ahmad</t>
  </si>
  <si>
    <t>25/06/1998</t>
  </si>
  <si>
    <t>Marrakech</t>
  </si>
  <si>
    <t>Bac+5</t>
  </si>
  <si>
    <t>Marié</t>
  </si>
  <si>
    <t>Audit</t>
  </si>
  <si>
    <t>Centre :</t>
  </si>
  <si>
    <t>CEO :</t>
  </si>
  <si>
    <t xml:space="preserve">**Nom ici </t>
  </si>
  <si>
    <t>** Nom ICI</t>
  </si>
  <si>
    <t>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</si>
</sst>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"/>
    <numFmt numFmtId="165" formatCode="0#&quot; &quot;##&quot; &quot;##&quot; &quot;##&quot; &quot;##"/>
    <numFmt numFmtId="166" formatCode="[$-F800]dddd\,\ mmmm\ dd\,\ yyyy"/>
    <numFmt numFmtId="167" formatCode="dd/mm/yy;@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6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5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/>
    </xf>
    <xf numFmtId="0" fontId="4" fillId="0" borderId="5" xfId="1" applyFont="1" applyFill="1" applyBorder="1" applyAlignment="1">
      <alignment horizontal="center" vertical="center"/>
    </xf>
    <xf numFmtId="0" fontId="4" fillId="0" borderId="1" xfId="1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165" fontId="0" fillId="0" borderId="0" xfId="0" applyNumberFormat="1" applyAlignment="1">
      <alignment vertical="center"/>
    </xf>
    <xf numFmtId="165" fontId="0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5" borderId="0" xfId="0" applyFill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vertical="top"/>
    </xf>
    <xf numFmtId="0" fontId="2" fillId="0" borderId="0" xfId="0" applyFont="1" applyFill="1" applyAlignment="1">
      <alignment vertical="center"/>
    </xf>
    <xf numFmtId="0" fontId="9" fillId="0" borderId="0" xfId="2" applyFont="1" applyAlignment="1">
      <alignment horizontal="center" vertical="center"/>
    </xf>
    <xf numFmtId="0" fontId="0" fillId="0" borderId="0" xfId="0" applyFont="1"/>
    <xf numFmtId="0" fontId="0" fillId="0" borderId="0" xfId="0" applyAlignment="1">
      <alignment vertical="center" wrapText="1"/>
    </xf>
    <xf numFmtId="164" fontId="6" fillId="0" borderId="7" xfId="1" applyNumberFormat="1" applyFont="1" applyFill="1" applyBorder="1" applyAlignment="1">
      <alignment horizontal="center" vertical="center" textRotation="90"/>
    </xf>
    <xf numFmtId="0" fontId="11" fillId="0" borderId="0" xfId="0" applyFont="1"/>
    <xf numFmtId="0" fontId="0" fillId="5" borderId="0" xfId="0" applyFill="1"/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vertical="center"/>
    </xf>
    <xf numFmtId="0" fontId="6" fillId="4" borderId="6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6" fillId="10" borderId="12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8" borderId="12" xfId="0" applyFill="1" applyBorder="1" applyAlignment="1">
      <alignment horizontal="left" vertical="center"/>
    </xf>
    <xf numFmtId="0" fontId="15" fillId="7" borderId="4" xfId="0" applyFont="1" applyFill="1" applyBorder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20" fillId="10" borderId="0" xfId="0" applyFont="1" applyFill="1" applyAlignment="1">
      <alignment vertical="center" wrapText="1"/>
    </xf>
    <xf numFmtId="165" fontId="0" fillId="5" borderId="0" xfId="0" applyNumberFormat="1" applyFill="1" applyAlignment="1">
      <alignment vertical="center"/>
    </xf>
    <xf numFmtId="165" fontId="0" fillId="5" borderId="0" xfId="0" applyNumberForma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21" fillId="10" borderId="7" xfId="0" applyFont="1" applyFill="1" applyBorder="1" applyAlignment="1">
      <alignment horizontal="center" vertical="center"/>
    </xf>
    <xf numFmtId="0" fontId="20" fillId="13" borderId="5" xfId="0" applyFont="1" applyFill="1" applyBorder="1" applyAlignment="1">
      <alignment horizontal="center" vertical="center"/>
    </xf>
    <xf numFmtId="0" fontId="20" fillId="13" borderId="0" xfId="0" applyFont="1" applyFill="1" applyBorder="1" applyAlignment="1">
      <alignment horizontal="center" vertical="center"/>
    </xf>
    <xf numFmtId="0" fontId="11" fillId="5" borderId="0" xfId="0" applyFont="1" applyFill="1"/>
    <xf numFmtId="0" fontId="11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2" fillId="2" borderId="7" xfId="1" applyFont="1" applyBorder="1" applyAlignment="1">
      <alignment horizontal="center" vertical="center"/>
    </xf>
    <xf numFmtId="165" fontId="2" fillId="2" borderId="2" xfId="1" applyNumberFormat="1" applyFont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164" fontId="6" fillId="4" borderId="7" xfId="1" applyNumberFormat="1" applyFont="1" applyFill="1" applyBorder="1" applyAlignment="1">
      <alignment horizontal="left" vertical="center"/>
    </xf>
    <xf numFmtId="164" fontId="6" fillId="5" borderId="7" xfId="1" applyNumberFormat="1" applyFont="1" applyFill="1" applyBorder="1" applyAlignment="1">
      <alignment horizontal="left" vertical="center"/>
    </xf>
    <xf numFmtId="0" fontId="2" fillId="5" borderId="0" xfId="0" applyFont="1" applyFill="1"/>
    <xf numFmtId="0" fontId="2" fillId="12" borderId="6" xfId="0" applyFont="1" applyFill="1" applyBorder="1" applyAlignment="1">
      <alignment horizontal="center" vertical="center"/>
    </xf>
    <xf numFmtId="0" fontId="2" fillId="0" borderId="0" xfId="0" applyFont="1"/>
    <xf numFmtId="0" fontId="16" fillId="13" borderId="11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9" borderId="7" xfId="0" applyFont="1" applyFill="1" applyBorder="1" applyAlignment="1">
      <alignment horizontal="center" vertical="center"/>
    </xf>
    <xf numFmtId="0" fontId="6" fillId="9" borderId="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0" fontId="2" fillId="4" borderId="7" xfId="1" applyFont="1" applyFill="1" applyBorder="1" applyAlignment="1">
      <alignment horizontal="center" vertical="center"/>
    </xf>
    <xf numFmtId="0" fontId="2" fillId="4" borderId="7" xfId="1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5" borderId="11" xfId="0" applyFont="1" applyFill="1" applyBorder="1"/>
    <xf numFmtId="0" fontId="22" fillId="5" borderId="11" xfId="0" applyFont="1" applyFill="1" applyBorder="1" applyAlignment="1">
      <alignment horizontal="center" vertical="center"/>
    </xf>
    <xf numFmtId="0" fontId="5" fillId="5" borderId="11" xfId="0" applyFont="1" applyFill="1" applyBorder="1"/>
    <xf numFmtId="0" fontId="5" fillId="5" borderId="12" xfId="0" applyFont="1" applyFill="1" applyBorder="1"/>
    <xf numFmtId="0" fontId="4" fillId="5" borderId="12" xfId="0" applyFont="1" applyFill="1" applyBorder="1"/>
    <xf numFmtId="0" fontId="4" fillId="5" borderId="12" xfId="0" applyFont="1" applyFill="1" applyBorder="1" applyAlignment="1">
      <alignment horizontal="center" vertical="center"/>
    </xf>
    <xf numFmtId="14" fontId="4" fillId="5" borderId="11" xfId="0" applyNumberFormat="1" applyFont="1" applyFill="1" applyBorder="1" applyAlignment="1">
      <alignment horizontal="center" vertical="center"/>
    </xf>
    <xf numFmtId="165" fontId="23" fillId="10" borderId="0" xfId="0" applyNumberFormat="1" applyFont="1" applyFill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5" fillId="4" borderId="2" xfId="0" applyFont="1" applyFill="1" applyBorder="1" applyAlignment="1">
      <alignment vertical="center"/>
    </xf>
    <xf numFmtId="0" fontId="25" fillId="4" borderId="3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24" fillId="4" borderId="3" xfId="0" applyFont="1" applyFill="1" applyBorder="1" applyAlignment="1">
      <alignment vertical="center"/>
    </xf>
    <xf numFmtId="0" fontId="11" fillId="0" borderId="17" xfId="0" applyFont="1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5" borderId="16" xfId="0" applyFont="1" applyFill="1" applyBorder="1"/>
    <xf numFmtId="0" fontId="11" fillId="5" borderId="16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/>
    </xf>
    <xf numFmtId="0" fontId="6" fillId="8" borderId="16" xfId="0" applyFont="1" applyFill="1" applyBorder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8" borderId="3" xfId="0" applyFont="1" applyFill="1" applyBorder="1" applyAlignment="1">
      <alignment horizontal="center" vertical="center" wrapText="1"/>
    </xf>
    <xf numFmtId="0" fontId="16" fillId="8" borderId="4" xfId="0" applyFont="1" applyFill="1" applyBorder="1" applyAlignment="1">
      <alignment horizontal="center" vertical="center" wrapText="1"/>
    </xf>
    <xf numFmtId="0" fontId="26" fillId="8" borderId="3" xfId="0" applyFont="1" applyFill="1" applyBorder="1" applyAlignment="1">
      <alignment horizontal="center" vertical="center" wrapText="1"/>
    </xf>
    <xf numFmtId="0" fontId="26" fillId="8" borderId="4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/>
    </xf>
    <xf numFmtId="166" fontId="6" fillId="3" borderId="7" xfId="1" applyNumberFormat="1" applyFont="1" applyFill="1" applyBorder="1" applyAlignment="1">
      <alignment horizontal="center" vertical="center"/>
    </xf>
    <xf numFmtId="0" fontId="2" fillId="2" borderId="7" xfId="1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0" fontId="16" fillId="7" borderId="3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13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20" fillId="13" borderId="5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</cellXfs>
  <cellStyles count="3">
    <cellStyle name="20% - Accent1" xfId="1" builtinId="30"/>
    <cellStyle name="Hyperlink" xfId="2" builtinId="8"/>
    <cellStyle name="Normal" xfId="0" builtinId="0"/>
  </cellStyles>
  <dxfs count="7">
    <dxf>
      <font>
        <color theme="0"/>
      </font>
    </dxf>
    <dxf>
      <fill>
        <patternFill>
          <bgColor rgb="FFFFFF00"/>
        </patternFill>
      </fill>
    </dxf>
    <dxf>
      <font>
        <color rgb="FFFF9999"/>
      </font>
      <fill>
        <patternFill>
          <fgColor rgb="FFFF9999"/>
          <bgColor rgb="FFFF9999"/>
        </patternFill>
      </fill>
    </dxf>
    <dxf>
      <font>
        <color rgb="FFFF9999"/>
      </font>
      <fill>
        <patternFill>
          <bgColor rgb="FFFF9999"/>
        </patternFill>
      </fill>
    </dxf>
    <dxf>
      <font>
        <color rgb="FF99FF99"/>
      </font>
      <fill>
        <patternFill>
          <bgColor rgb="FF99FF99"/>
        </patternFill>
      </fill>
    </dxf>
    <dxf>
      <font>
        <color theme="0"/>
      </font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99"/>
      <color rgb="FFFF8585"/>
      <color rgb="FF69FFAD"/>
      <color rgb="FF99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H$5" lockText="1" noThreeD="1"/>
</file>

<file path=xl/ctrlProps/ctrlProp2.xml><?xml version="1.0" encoding="utf-8"?>
<formControlPr xmlns="http://schemas.microsoft.com/office/spreadsheetml/2009/9/main" objectType="CheckBox" checked="Checked" fmlaLink="$I$5" lockText="1" noThreeD="1"/>
</file>

<file path=xl/ctrlProps/ctrlProp3.xml><?xml version="1.0" encoding="utf-8"?>
<formControlPr xmlns="http://schemas.microsoft.com/office/spreadsheetml/2009/9/main" objectType="CheckBox" fmlaLink="$J$5" lockText="1" noThreeD="1"/>
</file>

<file path=xl/ctrlProps/ctrlProp4.xml><?xml version="1.0" encoding="utf-8"?>
<formControlPr xmlns="http://schemas.microsoft.com/office/spreadsheetml/2009/9/main" objectType="CheckBox" fmlaLink="$K$5" lockText="1" noThreeD="1"/>
</file>

<file path=xl/ctrlProps/ctrlProp5.xml><?xml version="1.0" encoding="utf-8"?>
<formControlPr xmlns="http://schemas.microsoft.com/office/spreadsheetml/2009/9/main" objectType="CheckBox" fmlaLink="$L$5" lockText="1" noThreeD="1"/>
</file>

<file path=xl/ctrlProps/ctrlProp6.xml><?xml version="1.0" encoding="utf-8"?>
<formControlPr xmlns="http://schemas.microsoft.com/office/spreadsheetml/2009/9/main" objectType="CheckBox" fmlaLink="$M$5" lockText="1" noThreeD="1"/>
</file>

<file path=xl/ctrlProps/ctrlProp7.xml><?xml version="1.0" encoding="utf-8"?>
<formControlPr xmlns="http://schemas.microsoft.com/office/spreadsheetml/2009/9/main" objectType="CheckBox" fmlaLink="$N$5" lockText="1" noThreeD="1"/>
</file>

<file path=xl/ctrlProps/ctrlProp8.xml><?xml version="1.0" encoding="utf-8"?>
<formControlPr xmlns="http://schemas.microsoft.com/office/spreadsheetml/2009/9/main" objectType="CheckBox" fmlaLink="$O$5" lockText="1" noThreeD="1"/>
</file>

<file path=xl/ctrlProps/ctrlProp9.xml><?xml version="1.0" encoding="utf-8"?>
<formControlPr xmlns="http://schemas.microsoft.com/office/spreadsheetml/2009/9/main" objectType="CheckBox" fmlaLink="$P$5" lockText="1" noThreeD="1"/>
</file>

<file path=xl/ctrlProps/ctrlProp10.xml><?xml version="1.0" encoding="utf-8"?>
<formControlPr xmlns="http://schemas.microsoft.com/office/spreadsheetml/2009/9/main" objectType="CheckBox" fmlaLink="$Q$5" lockText="1" noThreeD="1"/>
</file>

<file path=xl/ctrlProps/ctrlProp11.xml><?xml version="1.0" encoding="utf-8"?>
<formControlPr xmlns="http://schemas.microsoft.com/office/spreadsheetml/2009/9/main" objectType="CheckBox" fmlaLink="$R$5" lockText="1" noThreeD="1"/>
</file>

<file path=xl/ctrlProps/ctrlProp12.xml><?xml version="1.0" encoding="utf-8"?>
<formControlPr xmlns="http://schemas.microsoft.com/office/spreadsheetml/2009/9/main" objectType="CheckBox" fmlaLink="$S$5" lockText="1" noThreeD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216477</xdr:colOff>
      <xdr:row>1</xdr:row>
      <xdr:rowOff>1027</xdr:rowOff>
    </xdr:from>
    <xdr:to>
      <xdr:col>2</xdr:col>
      <xdr:colOff>458932</xdr:colOff>
      <xdr:row>2</xdr:row>
      <xdr:rowOff>24046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216477" y="201052"/>
          <a:ext cx="1433080" cy="394494"/>
          <a:chOff x="0" y="191527"/>
          <a:chExt cx="1490117" cy="396692"/>
        </a:xfrm>
      </xdr:grpSpPr>
      <xdr:sp macro="[0]!AddOrRemoveCheckBoxes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370010" y="219807"/>
            <a:ext cx="1120107" cy="3443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Actualiser</a:t>
            </a:r>
          </a:p>
        </xdr:txBody>
      </xdr:sp>
      <xdr:pic macro="[0]!AddOrRemoveCheckBoxes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1527"/>
            <a:ext cx="409814" cy="39669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563394</xdr:colOff>
      <xdr:row>0</xdr:row>
      <xdr:rowOff>141863</xdr:rowOff>
    </xdr:from>
    <xdr:to>
      <xdr:col>4</xdr:col>
      <xdr:colOff>875488</xdr:colOff>
      <xdr:row>2</xdr:row>
      <xdr:rowOff>77011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754019" y="141863"/>
          <a:ext cx="1931344" cy="506648"/>
          <a:chOff x="1479415" y="141863"/>
          <a:chExt cx="1823935" cy="498542"/>
        </a:xfrm>
      </xdr:grpSpPr>
      <xdr:sp macro="[0]!CallUserForm" textlink="">
        <xdr:nvSpPr>
          <xdr:cNvPr id="353" name="TextBox 352">
            <a:extLst>
              <a:ext uri="{FF2B5EF4-FFF2-40B4-BE49-F238E27FC236}">
                <a16:creationId xmlns:a16="http://schemas.microsoft.com/office/drawing/2014/main" id="{00000000-0008-0000-0000-000061010000}"/>
              </a:ext>
            </a:extLst>
          </xdr:cNvPr>
          <xdr:cNvSpPr txBox="1"/>
        </xdr:nvSpPr>
        <xdr:spPr>
          <a:xfrm>
            <a:off x="2022541" y="227828"/>
            <a:ext cx="1280809" cy="34369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Enregistrer</a:t>
            </a:r>
          </a:p>
        </xdr:txBody>
      </xdr:sp>
      <xdr:pic macro="[0]!CallUserForm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0000" b="90000" l="10000" r="90000">
                        <a14:foregroundMark x1="42182" y1="9836" x2="42182" y2="9836"/>
                        <a14:backgroundMark x1="23273" y1="58470" x2="23273" y2="80874"/>
                        <a14:backgroundMark x1="67636" y1="84153" x2="76364" y2="74317"/>
                        <a14:backgroundMark x1="58545" y1="44809" x2="57818" y2="49180"/>
                      </a14:backgroundRemoval>
                    </a14:imgEffect>
                    <a14:imgEffect>
                      <a14:brightnessContrast bright="2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9415" y="141863"/>
            <a:ext cx="750085" cy="498542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4</xdr:row>
          <xdr:rowOff>0</xdr:rowOff>
        </xdr:from>
        <xdr:to>
          <xdr:col>19</xdr:col>
          <xdr:colOff>0</xdr:colOff>
          <xdr:row>5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04947-AD45-44EA-B082-E493DDAE53A3}">
  <sheetPr codeName="Sheet1">
    <tabColor rgb="FF69FFAD"/>
  </sheetPr>
  <dimension ref="A1:AB46"/>
  <sheetViews>
    <sheetView tabSelected="1" zoomScaleNormal="100" workbookViewId="0">
      <selection activeCell="N17" sqref="N17"/>
    </sheetView>
  </sheetViews>
  <sheetFormatPr defaultRowHeight="15" x14ac:dyDescent="0.25"/>
  <cols>
    <col min="1" max="1" width="4.140625" style="1" customWidth="1"/>
    <col min="2" max="2" width="13.7109375" style="1" customWidth="1"/>
    <col min="3" max="3" width="13.42578125" style="1" customWidth="1"/>
    <col min="4" max="4" width="10.85546875" style="1" customWidth="1"/>
    <col min="5" max="5" width="15.5703125" style="1" customWidth="1"/>
    <col min="6" max="6" width="10" style="1" customWidth="1"/>
    <col min="7" max="7" width="14.42578125" style="20" customWidth="1"/>
    <col min="8" max="19" width="4.5703125" style="1" customWidth="1"/>
    <col min="20" max="20" width="7.28515625" style="1" customWidth="1"/>
    <col min="21" max="21" width="13.28515625" style="1" customWidth="1"/>
    <col min="22" max="22" width="16.28515625" style="1" customWidth="1"/>
    <col min="23" max="23" width="38.5703125" style="1" customWidth="1"/>
    <col min="24" max="33" width="9.140625" style="1"/>
    <col min="34" max="34" width="11.42578125" style="1" customWidth="1"/>
    <col min="35" max="16384" width="9.140625" style="1"/>
  </cols>
  <sheetData>
    <row r="1" spans="1:28" ht="15.75" customHeight="1" thickBot="1" x14ac:dyDescent="0.3">
      <c r="A1" s="32"/>
      <c r="B1" s="21"/>
      <c r="C1" s="21"/>
      <c r="D1" s="21"/>
      <c r="E1" s="21"/>
      <c r="F1" s="21"/>
      <c r="G1" s="45"/>
      <c r="H1" s="112" t="s">
        <v>84</v>
      </c>
      <c r="I1" s="112"/>
      <c r="J1" s="112"/>
      <c r="K1" s="112"/>
      <c r="L1" s="112"/>
      <c r="M1" s="112"/>
      <c r="N1" s="112"/>
      <c r="O1" s="112"/>
      <c r="P1" s="112"/>
      <c r="Q1" s="113"/>
      <c r="R1" s="86" t="s">
        <v>81</v>
      </c>
      <c r="S1" s="87"/>
      <c r="T1" s="87"/>
      <c r="U1" s="102" t="s">
        <v>82</v>
      </c>
      <c r="V1" s="103"/>
      <c r="W1" s="110"/>
      <c r="X1" s="101"/>
      <c r="Y1" s="101"/>
    </row>
    <row r="2" spans="1:28" ht="29.25" customHeight="1" thickBot="1" x14ac:dyDescent="0.3">
      <c r="A2" s="32"/>
      <c r="B2" s="21"/>
      <c r="C2" s="21"/>
      <c r="D2" s="21"/>
      <c r="E2" s="21"/>
      <c r="F2" s="21"/>
      <c r="G2" s="46"/>
      <c r="H2" s="114"/>
      <c r="I2" s="114"/>
      <c r="J2" s="114"/>
      <c r="K2" s="114"/>
      <c r="L2" s="114"/>
      <c r="M2" s="114"/>
      <c r="N2" s="114"/>
      <c r="O2" s="114"/>
      <c r="P2" s="114"/>
      <c r="Q2" s="115"/>
      <c r="R2" s="88" t="s">
        <v>80</v>
      </c>
      <c r="S2" s="89"/>
      <c r="T2" s="89"/>
      <c r="U2" s="104" t="s">
        <v>83</v>
      </c>
      <c r="V2" s="105"/>
      <c r="W2" s="111"/>
      <c r="X2" s="101"/>
      <c r="Y2" s="101"/>
    </row>
    <row r="3" spans="1:28" ht="18.75" customHeight="1" thickBot="1" x14ac:dyDescent="0.3">
      <c r="A3" s="32"/>
      <c r="B3" s="21"/>
      <c r="C3" s="21"/>
      <c r="D3" s="21"/>
      <c r="E3" s="21"/>
      <c r="F3" s="21"/>
      <c r="G3" s="18"/>
      <c r="H3" s="108">
        <f ca="1">TODAY()</f>
        <v>45700</v>
      </c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9" t="s">
        <v>4</v>
      </c>
      <c r="U3" s="47" t="s">
        <v>69</v>
      </c>
      <c r="V3" s="106" t="s">
        <v>9</v>
      </c>
      <c r="W3" s="107" t="s">
        <v>10</v>
      </c>
      <c r="X3" s="25"/>
    </row>
    <row r="4" spans="1:28" ht="30" customHeight="1" thickBot="1" x14ac:dyDescent="0.3">
      <c r="A4" s="55" t="s">
        <v>67</v>
      </c>
      <c r="B4" s="55" t="s">
        <v>0</v>
      </c>
      <c r="C4" s="55" t="s">
        <v>7</v>
      </c>
      <c r="D4" s="55" t="s">
        <v>1</v>
      </c>
      <c r="E4" s="55" t="s">
        <v>2</v>
      </c>
      <c r="F4" s="55" t="s">
        <v>3</v>
      </c>
      <c r="G4" s="56" t="s">
        <v>8</v>
      </c>
      <c r="H4" s="29" t="str">
        <f ca="1">TEXT(DATE(YEAR(TODAY()), ROW(), 1), "") &amp; "" &amp; TEXT(DATE(YEAR(TODAY()), ROW(AA9), 1), "mmm") &amp; "   /" &amp; YEAR(TODAY())</f>
        <v>sept   /2025</v>
      </c>
      <c r="I4" s="29" t="str">
        <f ca="1">TEXT(DATE(YEAR(TODAY()), ROW(), 1), "") &amp; "" &amp; TEXT(DATE(YEAR(TODAY()), ROW(AA10), 1), "mmm") &amp; "     /" &amp; YEAR(TODAY())</f>
        <v>oct     /2025</v>
      </c>
      <c r="J4" s="29" t="str">
        <f ca="1">TEXT(DATE(YEAR(TODAY()), ROW(), 1), "") &amp; "" &amp; TEXT(DATE(YEAR(TODAY()), ROW(AA11), 1), "mmm") &amp; "    /" &amp; YEAR(TODAY())</f>
        <v>nov    /2025</v>
      </c>
      <c r="K4" s="29" t="str">
        <f ca="1">TEXT(DATE(YEAR(TODAY()), ROW(), 1), "") &amp; "" &amp; TEXT(DATE(YEAR(TODAY()), ROW(AA12), 1), "mmm") &amp; "     /" &amp; YEAR(TODAY())</f>
        <v>déc     /2025</v>
      </c>
      <c r="L4" s="29" t="str">
        <f ca="1">TEXT(DATE(YEAR(TODAY()), ROW(), 1), "") &amp; "" &amp; TEXT(DATE(YEAR(TODAY()), ROW(AA1), 1), "mmm") &amp; "   /" &amp; YEAR(TODAY())</f>
        <v>janv   /2025</v>
      </c>
      <c r="M4" s="29" t="str">
        <f ca="1">TEXT(DATE(YEAR(TODAY()), ROW(), 1), "") &amp; "" &amp; TEXT(DATE(YEAR(TODAY()), ROW(AA2), 1), "mmm") &amp; "    /" &amp; YEAR(TODAY())</f>
        <v>févr    /2025</v>
      </c>
      <c r="N4" s="29" t="str">
        <f ca="1">TEXT(DATE(YEAR(TODAY()), ROW(), 1), "") &amp; "" &amp; TEXT(DATE(YEAR(TODAY()), ROW(AA3), 1), "mmm") &amp; "   /" &amp; YEAR(TODAY())</f>
        <v>mars   /2025</v>
      </c>
      <c r="O4" s="29" t="str">
        <f ca="1">TEXT(DATE(YEAR(TODAY()), ROW(), 1), "") &amp; "" &amp; TEXT(DATE(YEAR(TODAY()), ROW(AA4), 1), "mmm") &amp; "     /" &amp; YEAR(TODAY())</f>
        <v>avr     /2025</v>
      </c>
      <c r="P4" s="29" t="str">
        <f ca="1">TEXT(DATE(YEAR(TODAY()), ROW(), 1), "") &amp; "" &amp; TEXT(DATE(YEAR(TODAY()), ROW(AA5), 1), "mmm") &amp; "    /" &amp; YEAR(TODAY())</f>
        <v>mai    /2025</v>
      </c>
      <c r="Q4" s="29" t="str">
        <f ca="1">TEXT(DATE(YEAR(TODAY()), ROW(), 1), "") &amp; "" &amp; TEXT(DATE(YEAR(TODAY()), ROW(AA6), 1), "mmm") &amp; "    /" &amp; YEAR(TODAY())</f>
        <v>juin    /2025</v>
      </c>
      <c r="R4" s="29" t="str">
        <f ca="1">TEXT(DATE(YEAR(TODAY()), ROW(), 1), "") &amp; "" &amp; TEXT(DATE(YEAR(TODAY()), ROW(AA7), 1), "mmm") &amp; "      /" &amp; YEAR(TODAY())</f>
        <v>juil      /2025</v>
      </c>
      <c r="S4" s="29" t="str">
        <f ca="1">TEXT(DATE(YEAR(TODAY()), ROW(), 1), "") &amp; "" &amp; TEXT(DATE(YEAR(TODAY()), ROW(AA8), 1), "mmm") &amp; "   /" &amp; YEAR(TODAY())</f>
        <v>août   /2025</v>
      </c>
      <c r="T4" s="109"/>
      <c r="U4" s="57">
        <v>850</v>
      </c>
      <c r="V4" s="106"/>
      <c r="W4" s="107"/>
      <c r="X4" s="25"/>
      <c r="Y4" s="23"/>
      <c r="Z4" s="23"/>
      <c r="AA4" s="23"/>
      <c r="AB4" s="23"/>
    </row>
    <row r="5" spans="1:28" ht="16.5" customHeight="1" x14ac:dyDescent="0.25">
      <c r="A5" s="5">
        <v>1</v>
      </c>
      <c r="B5" t="s">
        <v>74</v>
      </c>
      <c r="C5" s="27" t="s">
        <v>71</v>
      </c>
      <c r="D5" s="28" t="s">
        <v>72</v>
      </c>
      <c r="E5" s="72">
        <v>45301</v>
      </c>
      <c r="F5" s="3" t="s">
        <v>73</v>
      </c>
      <c r="G5" s="19">
        <v>655376830</v>
      </c>
      <c r="H5" s="17" t="b">
        <v>1</v>
      </c>
      <c r="I5" s="6" t="b">
        <v>1</v>
      </c>
      <c r="J5" s="10" t="b">
        <v>0</v>
      </c>
      <c r="K5" s="12" t="b">
        <v>0</v>
      </c>
      <c r="L5" s="7" t="b">
        <v>0</v>
      </c>
      <c r="M5" s="13" t="b">
        <v>0</v>
      </c>
      <c r="N5" s="17" t="b">
        <v>0</v>
      </c>
      <c r="O5" s="6"/>
      <c r="P5" s="10"/>
      <c r="Q5" s="12"/>
      <c r="R5" s="7"/>
      <c r="S5" s="13"/>
      <c r="T5" s="5">
        <f>COUNTIF(H5:S5,TRUE)</f>
        <v>2</v>
      </c>
      <c r="U5" s="5" t="str">
        <f>T5 * $U$4 &amp; " Dh"</f>
        <v>1700 Dh</v>
      </c>
      <c r="V5" s="26" t="str">
        <f>HYPERLINK("https://wa.me/+212" &amp; VALUE(G5) &amp; "?text=" &amp; W5, "WhatsApp")</f>
        <v>WhatsApp</v>
      </c>
      <c r="W5" s="22" t="str">
        <f>CONCATENATE("Bonjour ", B5, CHAR(10), ",  Nous vous rappelons de bien vouloir effectuer le paiement de ", $U$4, " dh de votre abonnement mensuel dans les plus brefs délais.", CHAR(10), " Merci ! ", CHAR(10), CHAR(10), "Cordialement, ", CHAR(10),U1, CHAR(10), " Centre de formation "&amp;U2)</f>
        <v>Bonjour Ahmad
,  Nous vous rappelons de bien vouloir effectuer le paiement de 850 dh de votre abonnement mensuel dans les plus brefs délais.
 Merci ! 
Cordialement, 
**Nom ici 
 Centre de formation ** Nom ICI</v>
      </c>
      <c r="X5" s="24"/>
      <c r="Y5" s="23"/>
      <c r="Z5" s="23"/>
      <c r="AA5" s="23"/>
      <c r="AB5" s="23"/>
    </row>
    <row r="6" spans="1:28" x14ac:dyDescent="0.25">
      <c r="A6" s="5"/>
      <c r="B6"/>
      <c r="C6" s="27"/>
      <c r="D6" s="28"/>
      <c r="E6" s="72"/>
      <c r="F6" s="3"/>
      <c r="G6" s="19"/>
      <c r="H6" s="17"/>
      <c r="I6" s="6"/>
      <c r="J6" s="10"/>
      <c r="K6" s="12"/>
      <c r="L6" s="7"/>
      <c r="M6" s="13"/>
      <c r="N6" s="17"/>
      <c r="O6" s="6"/>
      <c r="P6" s="10"/>
      <c r="Q6" s="12"/>
      <c r="R6" s="7"/>
      <c r="S6" s="13"/>
      <c r="T6" s="5">
        <f t="shared" ref="T6:T28" si="0">COUNTIF(H6:S6,TRUE)</f>
        <v>0</v>
      </c>
      <c r="U6" s="5" t="str">
        <f t="shared" ref="U6:U28" si="1">T6 * $U$4 &amp; " Dh"</f>
        <v>0 Dh</v>
      </c>
      <c r="V6" s="26" t="str">
        <f t="shared" ref="V6:V28" si="2">HYPERLINK("https://wa.me/+212" &amp; VALUE(G6) &amp; "?text=" &amp; W6, "WhatsApp")</f>
        <v>WhatsApp</v>
      </c>
      <c r="W6" s="22" t="str">
        <f t="shared" ref="W6:W28" si="3">CONCATENATE("Bonjour ", B6, CHAR(10), ",  Nous vous rappelons de bien vouloir effectuer le paiement de ", $U$4, " dh de votre abonnement mensuel dans les plus brefs délais.", CHAR(10), " Merci ! ", CHAR(10), CHAR(10), "Cordialement, ", CHAR(10), " Hiba, ", CHAR(10), " Centre de formation X")</f>
        <v>Bonjour 
,  Nous vous rappelons de bien vouloir effectuer le paiement de 850 dh de votre abonnement mensuel dans les plus brefs délais.
 Merci ! 
Cordialement, 
 Hiba, 
 Centre de formation X</v>
      </c>
      <c r="X6" s="24"/>
      <c r="Y6" s="23"/>
      <c r="Z6" s="23"/>
      <c r="AA6" s="23"/>
      <c r="AB6" s="23"/>
    </row>
    <row r="7" spans="1:28" x14ac:dyDescent="0.25">
      <c r="A7" s="5"/>
      <c r="B7"/>
      <c r="C7" s="27"/>
      <c r="D7" s="28"/>
      <c r="E7" s="72"/>
      <c r="F7" s="3"/>
      <c r="G7" s="19"/>
      <c r="H7" s="17"/>
      <c r="I7" s="6"/>
      <c r="J7" s="10"/>
      <c r="K7" s="12"/>
      <c r="L7" s="7"/>
      <c r="M7" s="13"/>
      <c r="N7" s="17"/>
      <c r="O7" s="6"/>
      <c r="P7" s="10"/>
      <c r="Q7" s="12"/>
      <c r="R7" s="7"/>
      <c r="S7" s="13"/>
      <c r="T7" s="5">
        <f t="shared" si="0"/>
        <v>0</v>
      </c>
      <c r="U7" s="5" t="str">
        <f t="shared" si="1"/>
        <v>0 Dh</v>
      </c>
      <c r="V7" s="26" t="str">
        <f t="shared" si="2"/>
        <v>WhatsApp</v>
      </c>
      <c r="W7" s="22" t="str">
        <f t="shared" si="3"/>
        <v>Bonjour 
,  Nous vous rappelons de bien vouloir effectuer le paiement de 850 dh de votre abonnement mensuel dans les plus brefs délais.
 Merci ! 
Cordialement, 
 Hiba, 
 Centre de formation X</v>
      </c>
      <c r="X7" s="24"/>
      <c r="Y7" s="23"/>
      <c r="Z7" s="23"/>
      <c r="AA7" s="23"/>
      <c r="AB7" s="23"/>
    </row>
    <row r="8" spans="1:28" x14ac:dyDescent="0.25">
      <c r="A8" s="5"/>
      <c r="B8"/>
      <c r="C8" s="27"/>
      <c r="D8" s="28"/>
      <c r="E8" s="72"/>
      <c r="F8" s="3"/>
      <c r="G8" s="19"/>
      <c r="H8" s="17"/>
      <c r="I8" s="6"/>
      <c r="J8" s="10"/>
      <c r="K8" s="12"/>
      <c r="L8" s="7"/>
      <c r="M8" s="13"/>
      <c r="N8" s="17"/>
      <c r="O8" s="6"/>
      <c r="P8" s="10"/>
      <c r="Q8" s="12"/>
      <c r="R8" s="7"/>
      <c r="S8" s="13"/>
      <c r="T8" s="5">
        <f t="shared" si="0"/>
        <v>0</v>
      </c>
      <c r="U8" s="5" t="str">
        <f t="shared" si="1"/>
        <v>0 Dh</v>
      </c>
      <c r="V8" s="26" t="str">
        <f t="shared" si="2"/>
        <v>WhatsApp</v>
      </c>
      <c r="W8" s="22" t="str">
        <f t="shared" si="3"/>
        <v>Bonjour 
,  Nous vous rappelons de bien vouloir effectuer le paiement de 850 dh de votre abonnement mensuel dans les plus brefs délais.
 Merci ! 
Cordialement, 
 Hiba, 
 Centre de formation X</v>
      </c>
      <c r="X8" s="24"/>
      <c r="Y8" s="23"/>
      <c r="Z8" s="23"/>
      <c r="AA8" s="23"/>
      <c r="AB8" s="23"/>
    </row>
    <row r="9" spans="1:28" x14ac:dyDescent="0.25">
      <c r="A9" s="5"/>
      <c r="B9"/>
      <c r="C9" s="27"/>
      <c r="D9" s="28"/>
      <c r="E9" s="72"/>
      <c r="F9" s="3"/>
      <c r="G9" s="19"/>
      <c r="H9" s="17"/>
      <c r="I9" s="6"/>
      <c r="J9" s="10"/>
      <c r="K9" s="12"/>
      <c r="L9" s="7"/>
      <c r="M9" s="13"/>
      <c r="N9" s="17"/>
      <c r="O9" s="6"/>
      <c r="P9" s="10"/>
      <c r="Q9" s="12"/>
      <c r="R9" s="7"/>
      <c r="S9" s="13"/>
      <c r="T9" s="5">
        <f t="shared" si="0"/>
        <v>0</v>
      </c>
      <c r="U9" s="5" t="str">
        <f t="shared" si="1"/>
        <v>0 Dh</v>
      </c>
      <c r="V9" s="26" t="str">
        <f t="shared" si="2"/>
        <v>WhatsApp</v>
      </c>
      <c r="W9" s="22" t="str">
        <f t="shared" si="3"/>
        <v>Bonjour 
,  Nous vous rappelons de bien vouloir effectuer le paiement de 850 dh de votre abonnement mensuel dans les plus brefs délais.
 Merci ! 
Cordialement, 
 Hiba, 
 Centre de formation X</v>
      </c>
      <c r="X9" s="24"/>
      <c r="Y9" s="23"/>
      <c r="Z9" s="23"/>
      <c r="AA9" s="23"/>
      <c r="AB9" s="23"/>
    </row>
    <row r="10" spans="1:28" x14ac:dyDescent="0.25">
      <c r="A10" s="5"/>
      <c r="B10"/>
      <c r="C10" s="27"/>
      <c r="D10" s="28"/>
      <c r="E10" s="72"/>
      <c r="F10" s="2"/>
      <c r="G10" s="19"/>
      <c r="H10" s="17"/>
      <c r="I10" s="6"/>
      <c r="J10" s="10"/>
      <c r="K10" s="12"/>
      <c r="L10" s="7"/>
      <c r="M10" s="13"/>
      <c r="N10" s="17"/>
      <c r="O10" s="6"/>
      <c r="P10" s="10"/>
      <c r="Q10" s="12"/>
      <c r="R10" s="7"/>
      <c r="S10" s="13"/>
      <c r="T10" s="5">
        <f t="shared" si="0"/>
        <v>0</v>
      </c>
      <c r="U10" s="5" t="str">
        <f t="shared" si="1"/>
        <v>0 Dh</v>
      </c>
      <c r="V10" s="26" t="str">
        <f t="shared" si="2"/>
        <v>WhatsApp</v>
      </c>
      <c r="W10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11" spans="1:28" x14ac:dyDescent="0.25">
      <c r="A11" s="5"/>
      <c r="B11"/>
      <c r="C11" s="27"/>
      <c r="D11" s="28"/>
      <c r="E11" s="72"/>
      <c r="F11" s="3"/>
      <c r="G11" s="19"/>
      <c r="H11" s="17"/>
      <c r="I11" s="6"/>
      <c r="J11" s="10"/>
      <c r="K11" s="12"/>
      <c r="L11" s="7"/>
      <c r="M11" s="13"/>
      <c r="N11" s="17"/>
      <c r="O11" s="6"/>
      <c r="P11" s="10"/>
      <c r="Q11" s="12"/>
      <c r="R11" s="7"/>
      <c r="S11" s="13"/>
      <c r="T11" s="5">
        <f t="shared" si="0"/>
        <v>0</v>
      </c>
      <c r="U11" s="5" t="str">
        <f t="shared" si="1"/>
        <v>0 Dh</v>
      </c>
      <c r="V11" s="26" t="str">
        <f t="shared" si="2"/>
        <v>WhatsApp</v>
      </c>
      <c r="W11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12" spans="1:28" x14ac:dyDescent="0.25">
      <c r="A12" s="5"/>
      <c r="B12"/>
      <c r="C12" s="27"/>
      <c r="D12" s="28"/>
      <c r="E12" s="72"/>
      <c r="F12" s="3"/>
      <c r="G12" s="19"/>
      <c r="H12" s="17"/>
      <c r="I12" s="6"/>
      <c r="J12" s="10"/>
      <c r="K12" s="12"/>
      <c r="L12" s="7"/>
      <c r="M12" s="13"/>
      <c r="N12" s="17"/>
      <c r="O12" s="6"/>
      <c r="P12" s="10"/>
      <c r="Q12" s="12"/>
      <c r="R12" s="7"/>
      <c r="S12" s="13"/>
      <c r="T12" s="5">
        <f t="shared" si="0"/>
        <v>0</v>
      </c>
      <c r="U12" s="5" t="str">
        <f t="shared" si="1"/>
        <v>0 Dh</v>
      </c>
      <c r="V12" s="26" t="str">
        <f t="shared" si="2"/>
        <v>WhatsApp</v>
      </c>
      <c r="W12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13" spans="1:28" x14ac:dyDescent="0.25">
      <c r="A13" s="5"/>
      <c r="B13"/>
      <c r="C13" s="27"/>
      <c r="D13" s="28"/>
      <c r="E13" s="72"/>
      <c r="F13" s="3"/>
      <c r="G13" s="19"/>
      <c r="H13" s="17"/>
      <c r="I13" s="6"/>
      <c r="J13" s="10"/>
      <c r="K13" s="12"/>
      <c r="L13" s="7"/>
      <c r="M13" s="13"/>
      <c r="N13" s="17"/>
      <c r="O13" s="6"/>
      <c r="P13" s="10"/>
      <c r="Q13" s="12"/>
      <c r="R13" s="7"/>
      <c r="S13" s="13"/>
      <c r="T13" s="5">
        <f t="shared" si="0"/>
        <v>0</v>
      </c>
      <c r="U13" s="5" t="str">
        <f t="shared" si="1"/>
        <v>0 Dh</v>
      </c>
      <c r="V13" s="26" t="str">
        <f t="shared" si="2"/>
        <v>WhatsApp</v>
      </c>
      <c r="W13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14" spans="1:28" x14ac:dyDescent="0.25">
      <c r="A14" s="5"/>
      <c r="B14"/>
      <c r="C14" s="27"/>
      <c r="D14" s="28"/>
      <c r="E14" s="72"/>
      <c r="F14" s="3"/>
      <c r="G14" s="19"/>
      <c r="H14" s="17"/>
      <c r="I14" s="6"/>
      <c r="J14" s="10"/>
      <c r="K14" s="12"/>
      <c r="L14" s="7"/>
      <c r="M14" s="13"/>
      <c r="N14" s="17"/>
      <c r="O14" s="6"/>
      <c r="P14" s="10"/>
      <c r="Q14" s="12"/>
      <c r="R14" s="7"/>
      <c r="S14" s="13"/>
      <c r="T14" s="5">
        <f t="shared" si="0"/>
        <v>0</v>
      </c>
      <c r="U14" s="5" t="str">
        <f t="shared" si="1"/>
        <v>0 Dh</v>
      </c>
      <c r="V14" s="26" t="str">
        <f t="shared" si="2"/>
        <v>WhatsApp</v>
      </c>
      <c r="W14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15" spans="1:28" x14ac:dyDescent="0.25">
      <c r="A15" s="5"/>
      <c r="B15"/>
      <c r="C15" s="27"/>
      <c r="D15" s="28"/>
      <c r="E15" s="72"/>
      <c r="F15" s="3"/>
      <c r="G15" s="19"/>
      <c r="H15" s="16"/>
      <c r="I15" s="9"/>
      <c r="J15" s="11"/>
      <c r="K15" s="14"/>
      <c r="L15" s="8"/>
      <c r="M15" s="15"/>
      <c r="N15" s="16"/>
      <c r="O15" s="9"/>
      <c r="P15" s="11"/>
      <c r="Q15" s="14"/>
      <c r="R15" s="8"/>
      <c r="S15" s="15"/>
      <c r="T15" s="5">
        <f t="shared" si="0"/>
        <v>0</v>
      </c>
      <c r="U15" s="5" t="str">
        <f t="shared" si="1"/>
        <v>0 Dh</v>
      </c>
      <c r="V15" s="26" t="str">
        <f t="shared" si="2"/>
        <v>WhatsApp</v>
      </c>
      <c r="W15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16" spans="1:28" x14ac:dyDescent="0.25">
      <c r="A16" s="5"/>
      <c r="B16"/>
      <c r="C16" s="27"/>
      <c r="D16" s="28"/>
      <c r="E16" s="72"/>
      <c r="F16" s="3"/>
      <c r="G16" s="19"/>
      <c r="H16" s="16"/>
      <c r="I16" s="8"/>
      <c r="J16" s="11"/>
      <c r="K16" s="16"/>
      <c r="L16" s="8"/>
      <c r="M16" s="11"/>
      <c r="N16" s="16"/>
      <c r="O16" s="8"/>
      <c r="P16" s="11"/>
      <c r="Q16" s="16"/>
      <c r="R16" s="8"/>
      <c r="S16" s="11"/>
      <c r="T16" s="5">
        <f t="shared" si="0"/>
        <v>0</v>
      </c>
      <c r="U16" s="5" t="str">
        <f t="shared" si="1"/>
        <v>0 Dh</v>
      </c>
      <c r="V16" s="26" t="str">
        <f t="shared" si="2"/>
        <v>WhatsApp</v>
      </c>
      <c r="W16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17" spans="1:23" x14ac:dyDescent="0.25">
      <c r="A17" s="5"/>
      <c r="B17"/>
      <c r="C17" s="27"/>
      <c r="D17" s="28"/>
      <c r="E17" s="72"/>
      <c r="F17" s="3"/>
      <c r="G17" s="19"/>
      <c r="H17" s="16"/>
      <c r="I17" s="8"/>
      <c r="J17" s="11"/>
      <c r="K17" s="16"/>
      <c r="L17" s="8"/>
      <c r="M17" s="11"/>
      <c r="N17" s="16"/>
      <c r="O17" s="8"/>
      <c r="P17" s="11"/>
      <c r="Q17" s="16"/>
      <c r="R17" s="8"/>
      <c r="S17" s="11"/>
      <c r="T17" s="5">
        <f t="shared" si="0"/>
        <v>0</v>
      </c>
      <c r="U17" s="5" t="str">
        <f t="shared" si="1"/>
        <v>0 Dh</v>
      </c>
      <c r="V17" s="26" t="str">
        <f t="shared" si="2"/>
        <v>WhatsApp</v>
      </c>
      <c r="W17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18" spans="1:23" x14ac:dyDescent="0.25">
      <c r="A18" s="5"/>
      <c r="B18"/>
      <c r="C18" s="27"/>
      <c r="D18" s="28"/>
      <c r="E18" s="72"/>
      <c r="F18" s="3"/>
      <c r="G18" s="19"/>
      <c r="H18" s="16"/>
      <c r="I18" s="8"/>
      <c r="J18" s="11"/>
      <c r="K18" s="16"/>
      <c r="L18" s="8"/>
      <c r="M18" s="11"/>
      <c r="N18" s="16"/>
      <c r="O18" s="8"/>
      <c r="P18" s="11"/>
      <c r="Q18" s="16"/>
      <c r="R18" s="8"/>
      <c r="S18" s="11"/>
      <c r="T18" s="5">
        <f t="shared" si="0"/>
        <v>0</v>
      </c>
      <c r="U18" s="5" t="str">
        <f t="shared" si="1"/>
        <v>0 Dh</v>
      </c>
      <c r="V18" s="26" t="str">
        <f t="shared" si="2"/>
        <v>WhatsApp</v>
      </c>
      <c r="W18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19" spans="1:23" x14ac:dyDescent="0.25">
      <c r="A19" s="5"/>
      <c r="B19"/>
      <c r="C19" s="27"/>
      <c r="D19" s="28"/>
      <c r="E19" s="72"/>
      <c r="F19" s="3"/>
      <c r="G19" s="19"/>
      <c r="H19" s="16"/>
      <c r="I19" s="8"/>
      <c r="J19" s="11"/>
      <c r="K19" s="16"/>
      <c r="L19" s="8"/>
      <c r="M19" s="11"/>
      <c r="N19" s="16"/>
      <c r="O19" s="8"/>
      <c r="P19" s="11"/>
      <c r="Q19" s="16"/>
      <c r="R19" s="8"/>
      <c r="S19" s="11"/>
      <c r="T19" s="5">
        <f t="shared" si="0"/>
        <v>0</v>
      </c>
      <c r="U19" s="5" t="str">
        <f t="shared" si="1"/>
        <v>0 Dh</v>
      </c>
      <c r="V19" s="26" t="str">
        <f t="shared" si="2"/>
        <v>WhatsApp</v>
      </c>
      <c r="W19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20" spans="1:23" x14ac:dyDescent="0.25">
      <c r="A20" s="5"/>
      <c r="B20"/>
      <c r="C20" s="27"/>
      <c r="D20" s="28"/>
      <c r="E20" s="72"/>
      <c r="F20" s="3"/>
      <c r="G20" s="19"/>
      <c r="H20" s="16"/>
      <c r="I20" s="8"/>
      <c r="J20" s="11"/>
      <c r="K20" s="16"/>
      <c r="L20" s="8"/>
      <c r="M20" s="11"/>
      <c r="N20" s="16"/>
      <c r="O20" s="8"/>
      <c r="P20" s="11"/>
      <c r="Q20" s="16"/>
      <c r="R20" s="8"/>
      <c r="S20" s="11"/>
      <c r="T20" s="5">
        <f t="shared" si="0"/>
        <v>0</v>
      </c>
      <c r="U20" s="5" t="str">
        <f t="shared" si="1"/>
        <v>0 Dh</v>
      </c>
      <c r="V20" s="26" t="str">
        <f t="shared" si="2"/>
        <v>WhatsApp</v>
      </c>
      <c r="W20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21" spans="1:23" x14ac:dyDescent="0.25">
      <c r="A21" s="5"/>
      <c r="B21"/>
      <c r="C21" s="27"/>
      <c r="D21" s="28"/>
      <c r="E21" s="72"/>
      <c r="F21" s="3"/>
      <c r="G21" s="19"/>
      <c r="H21" s="16"/>
      <c r="I21" s="8"/>
      <c r="J21" s="11"/>
      <c r="K21" s="16"/>
      <c r="L21" s="8"/>
      <c r="M21" s="11"/>
      <c r="N21" s="16"/>
      <c r="O21" s="8"/>
      <c r="P21" s="11"/>
      <c r="Q21" s="16"/>
      <c r="R21" s="8"/>
      <c r="S21" s="11"/>
      <c r="T21" s="5">
        <f t="shared" si="0"/>
        <v>0</v>
      </c>
      <c r="U21" s="5" t="str">
        <f t="shared" si="1"/>
        <v>0 Dh</v>
      </c>
      <c r="V21" s="26" t="str">
        <f t="shared" si="2"/>
        <v>WhatsApp</v>
      </c>
      <c r="W21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22" spans="1:23" x14ac:dyDescent="0.25">
      <c r="A22" s="5"/>
      <c r="B22"/>
      <c r="C22" s="27"/>
      <c r="D22" s="28"/>
      <c r="E22" s="72"/>
      <c r="F22" s="3"/>
      <c r="G22" s="19"/>
      <c r="H22" s="16"/>
      <c r="I22" s="8"/>
      <c r="J22" s="11"/>
      <c r="K22" s="16"/>
      <c r="L22" s="8"/>
      <c r="M22" s="11"/>
      <c r="N22" s="16"/>
      <c r="O22" s="8"/>
      <c r="P22" s="11"/>
      <c r="Q22" s="16"/>
      <c r="R22" s="8"/>
      <c r="S22" s="11"/>
      <c r="T22" s="5">
        <f t="shared" si="0"/>
        <v>0</v>
      </c>
      <c r="U22" s="5" t="str">
        <f t="shared" si="1"/>
        <v>0 Dh</v>
      </c>
      <c r="V22" s="26" t="str">
        <f t="shared" si="2"/>
        <v>WhatsApp</v>
      </c>
      <c r="W22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23" spans="1:23" x14ac:dyDescent="0.25">
      <c r="A23" s="5"/>
      <c r="B23"/>
      <c r="C23" s="27"/>
      <c r="D23" s="28"/>
      <c r="E23" s="72"/>
      <c r="F23" s="3"/>
      <c r="G23" s="19"/>
      <c r="H23" s="16"/>
      <c r="I23" s="8"/>
      <c r="J23" s="11"/>
      <c r="K23" s="16"/>
      <c r="L23" s="8"/>
      <c r="M23" s="11"/>
      <c r="N23" s="16"/>
      <c r="O23" s="8"/>
      <c r="P23" s="11"/>
      <c r="Q23" s="16"/>
      <c r="R23" s="8"/>
      <c r="S23" s="11"/>
      <c r="T23" s="5">
        <f t="shared" si="0"/>
        <v>0</v>
      </c>
      <c r="U23" s="5" t="str">
        <f t="shared" si="1"/>
        <v>0 Dh</v>
      </c>
      <c r="V23" s="26" t="str">
        <f t="shared" si="2"/>
        <v>WhatsApp</v>
      </c>
      <c r="W23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24" spans="1:23" x14ac:dyDescent="0.25">
      <c r="A24" s="5"/>
      <c r="B24"/>
      <c r="C24" s="27"/>
      <c r="D24" s="28"/>
      <c r="E24" s="72"/>
      <c r="F24" s="3"/>
      <c r="G24" s="19"/>
      <c r="H24" s="16"/>
      <c r="I24" s="8"/>
      <c r="J24" s="11"/>
      <c r="K24" s="16"/>
      <c r="L24" s="8"/>
      <c r="M24" s="11"/>
      <c r="N24" s="16"/>
      <c r="O24" s="8"/>
      <c r="P24" s="11"/>
      <c r="Q24" s="16"/>
      <c r="R24" s="8"/>
      <c r="S24" s="11"/>
      <c r="T24" s="5">
        <f t="shared" si="0"/>
        <v>0</v>
      </c>
      <c r="U24" s="5" t="str">
        <f t="shared" si="1"/>
        <v>0 Dh</v>
      </c>
      <c r="V24" s="26" t="str">
        <f t="shared" si="2"/>
        <v>WhatsApp</v>
      </c>
      <c r="W24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25" spans="1:23" x14ac:dyDescent="0.25">
      <c r="A25" s="5"/>
      <c r="B25"/>
      <c r="C25" s="27"/>
      <c r="D25" s="28"/>
      <c r="E25" s="72"/>
      <c r="F25" s="3"/>
      <c r="G25" s="19"/>
      <c r="H25" s="16"/>
      <c r="I25" s="8"/>
      <c r="J25" s="11"/>
      <c r="K25" s="16"/>
      <c r="L25" s="8"/>
      <c r="M25" s="11"/>
      <c r="N25" s="16"/>
      <c r="O25" s="8"/>
      <c r="P25" s="11"/>
      <c r="Q25" s="16"/>
      <c r="R25" s="8"/>
      <c r="S25" s="11"/>
      <c r="T25" s="5">
        <f t="shared" si="0"/>
        <v>0</v>
      </c>
      <c r="U25" s="5" t="str">
        <f t="shared" si="1"/>
        <v>0 Dh</v>
      </c>
      <c r="V25" s="26" t="str">
        <f t="shared" si="2"/>
        <v>WhatsApp</v>
      </c>
      <c r="W25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26" spans="1:23" x14ac:dyDescent="0.25">
      <c r="A26" s="5"/>
      <c r="B26"/>
      <c r="C26" s="27"/>
      <c r="D26" s="28"/>
      <c r="E26" s="72"/>
      <c r="F26" s="3"/>
      <c r="G26" s="19"/>
      <c r="H26" s="16"/>
      <c r="I26" s="8"/>
      <c r="J26" s="11"/>
      <c r="K26" s="16"/>
      <c r="L26" s="8"/>
      <c r="M26" s="11"/>
      <c r="N26" s="16"/>
      <c r="O26" s="8"/>
      <c r="P26" s="11"/>
      <c r="Q26" s="16"/>
      <c r="R26" s="8"/>
      <c r="S26" s="11"/>
      <c r="T26" s="5">
        <f t="shared" si="0"/>
        <v>0</v>
      </c>
      <c r="U26" s="5" t="str">
        <f t="shared" si="1"/>
        <v>0 Dh</v>
      </c>
      <c r="V26" s="26" t="str">
        <f t="shared" si="2"/>
        <v>WhatsApp</v>
      </c>
      <c r="W26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27" spans="1:23" x14ac:dyDescent="0.25">
      <c r="A27" s="5"/>
      <c r="B27"/>
      <c r="C27" s="27"/>
      <c r="D27" s="28"/>
      <c r="E27" s="72"/>
      <c r="F27" s="3"/>
      <c r="G27" s="19"/>
      <c r="H27" s="16"/>
      <c r="I27" s="8"/>
      <c r="J27" s="11"/>
      <c r="K27" s="16"/>
      <c r="L27" s="8"/>
      <c r="M27" s="11"/>
      <c r="N27" s="16"/>
      <c r="O27" s="8"/>
      <c r="P27" s="11"/>
      <c r="Q27" s="16"/>
      <c r="R27" s="8"/>
      <c r="S27" s="11"/>
      <c r="T27" s="5">
        <f t="shared" si="0"/>
        <v>0</v>
      </c>
      <c r="U27" s="5" t="str">
        <f t="shared" si="1"/>
        <v>0 Dh</v>
      </c>
      <c r="V27" s="26" t="str">
        <f t="shared" si="2"/>
        <v>WhatsApp</v>
      </c>
      <c r="W27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28" spans="1:23" x14ac:dyDescent="0.25">
      <c r="A28" s="5"/>
      <c r="B28"/>
      <c r="C28" s="27"/>
      <c r="D28" s="28"/>
      <c r="E28" s="72"/>
      <c r="F28" s="3"/>
      <c r="G28" s="19"/>
      <c r="H28" s="16"/>
      <c r="I28" s="8"/>
      <c r="J28" s="11"/>
      <c r="K28" s="16"/>
      <c r="L28" s="8"/>
      <c r="M28" s="11"/>
      <c r="N28" s="16"/>
      <c r="O28" s="8"/>
      <c r="P28" s="11"/>
      <c r="Q28" s="16"/>
      <c r="R28" s="8"/>
      <c r="S28" s="11"/>
      <c r="T28" s="5">
        <f t="shared" si="0"/>
        <v>0</v>
      </c>
      <c r="U28" s="5" t="str">
        <f t="shared" si="1"/>
        <v>0 Dh</v>
      </c>
      <c r="V28" s="26" t="str">
        <f t="shared" si="2"/>
        <v>WhatsApp</v>
      </c>
      <c r="W28" s="22" t="str">
        <f t="shared" si="3"/>
        <v>Bonjour 
,  Nous vous rappelons de bien vouloir effectuer le paiement de 850 dh de votre abonnement mensuel dans les plus brefs délais.
 Merci ! 
Cordialement, 
 Hiba, 
 Centre de formation X</v>
      </c>
    </row>
    <row r="29" spans="1:23" s="43" customFormat="1" x14ac:dyDescent="0.25">
      <c r="D29" s="44"/>
      <c r="E29" s="44"/>
      <c r="G29" s="84"/>
      <c r="H29" s="85">
        <f>COUNTIF(H5:H28,TRUE)</f>
        <v>1</v>
      </c>
      <c r="I29" s="85">
        <f t="shared" ref="I29:S29" si="4">COUNTIF(I5:I28,TRUE)</f>
        <v>1</v>
      </c>
      <c r="J29" s="85">
        <f t="shared" si="4"/>
        <v>0</v>
      </c>
      <c r="K29" s="85">
        <f t="shared" si="4"/>
        <v>0</v>
      </c>
      <c r="L29" s="85">
        <f t="shared" si="4"/>
        <v>0</v>
      </c>
      <c r="M29" s="85">
        <f t="shared" si="4"/>
        <v>0</v>
      </c>
      <c r="N29" s="85">
        <f t="shared" si="4"/>
        <v>0</v>
      </c>
      <c r="O29" s="85">
        <f t="shared" si="4"/>
        <v>0</v>
      </c>
      <c r="P29" s="85">
        <f t="shared" si="4"/>
        <v>0</v>
      </c>
      <c r="Q29" s="85">
        <f t="shared" si="4"/>
        <v>0</v>
      </c>
      <c r="R29" s="85">
        <f t="shared" si="4"/>
        <v>0</v>
      </c>
      <c r="S29" s="85">
        <f t="shared" si="4"/>
        <v>0</v>
      </c>
      <c r="T29" s="85"/>
    </row>
    <row r="30" spans="1:23" x14ac:dyDescent="0.25">
      <c r="D30" s="28"/>
      <c r="E30" s="28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</row>
    <row r="31" spans="1:23" x14ac:dyDescent="0.25">
      <c r="D31" s="28"/>
      <c r="E31" s="28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23" x14ac:dyDescent="0.25">
      <c r="D32" s="28"/>
      <c r="E32" s="28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</row>
    <row r="33" spans="4:19" x14ac:dyDescent="0.25">
      <c r="D33" s="28"/>
      <c r="E33" s="28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</row>
    <row r="34" spans="4:19" x14ac:dyDescent="0.25">
      <c r="D34" s="28"/>
      <c r="E34" s="28"/>
    </row>
    <row r="35" spans="4:19" x14ac:dyDescent="0.25">
      <c r="D35" s="28"/>
      <c r="E35" s="28"/>
    </row>
    <row r="36" spans="4:19" x14ac:dyDescent="0.25">
      <c r="D36" s="28"/>
      <c r="E36" s="28"/>
    </row>
    <row r="37" spans="4:19" x14ac:dyDescent="0.25">
      <c r="D37" s="28"/>
      <c r="E37" s="28"/>
    </row>
    <row r="38" spans="4:19" x14ac:dyDescent="0.25">
      <c r="D38" s="28"/>
      <c r="E38" s="28"/>
    </row>
    <row r="39" spans="4:19" x14ac:dyDescent="0.25">
      <c r="D39" s="28"/>
      <c r="E39" s="28"/>
    </row>
    <row r="40" spans="4:19" x14ac:dyDescent="0.25">
      <c r="D40" s="28"/>
    </row>
    <row r="41" spans="4:19" x14ac:dyDescent="0.25">
      <c r="D41" s="28"/>
    </row>
    <row r="42" spans="4:19" x14ac:dyDescent="0.25">
      <c r="D42" s="28"/>
    </row>
    <row r="45" spans="4:19" x14ac:dyDescent="0.25"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</row>
    <row r="46" spans="4:19" x14ac:dyDescent="0.25"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</row>
  </sheetData>
  <sortState xmlns:xlrd2="http://schemas.microsoft.com/office/spreadsheetml/2017/richdata2" ref="B5:F13">
    <sortCondition sortBy="cellColor" ref="F5:F13"/>
  </sortState>
  <mergeCells count="9">
    <mergeCell ref="H3:S3"/>
    <mergeCell ref="T3:T4"/>
    <mergeCell ref="W1:W2"/>
    <mergeCell ref="H1:Q2"/>
    <mergeCell ref="X1:Y2"/>
    <mergeCell ref="U1:V1"/>
    <mergeCell ref="U2:V2"/>
    <mergeCell ref="V3:V4"/>
    <mergeCell ref="W3:W4"/>
  </mergeCells>
  <phoneticPr fontId="3" type="noConversion"/>
  <conditionalFormatting sqref="H4:S4">
    <cfRule type="timePeriod" dxfId="6" priority="20" timePeriod="thisMonth">
      <formula>AND(MONTH(H4)=MONTH(TODAY()),YEAR(H4)=YEAR(TODAY()))</formula>
    </cfRule>
  </conditionalFormatting>
  <conditionalFormatting sqref="T5:T28">
    <cfRule type="dataBar" priority="6">
      <dataBar>
        <cfvo type="num" val="0"/>
        <cfvo type="num" val="12"/>
        <color theme="7" tint="0.59999389629810485"/>
      </dataBar>
      <extLst>
        <ext xmlns:x14="http://schemas.microsoft.com/office/spreadsheetml/2009/9/main" uri="{B025F937-C7B1-47D3-B67F-A62EFF666E3E}">
          <x14:id>{71EA70CF-47F1-4D39-8C40-7D2DCC3A1100}</x14:id>
        </ext>
      </extLst>
    </cfRule>
  </conditionalFormatting>
  <conditionalFormatting sqref="T5:AI28">
    <cfRule type="expression" dxfId="5" priority="3">
      <formula>$B5=""</formula>
    </cfRule>
  </conditionalFormatting>
  <conditionalFormatting sqref="H5:S29">
    <cfRule type="expression" priority="34">
      <formula>$B5=""</formula>
    </cfRule>
    <cfRule type="containsText" dxfId="4" priority="35" operator="containsText" text="True">
      <formula>NOT(ISERROR(SEARCH("True",H5)))</formula>
    </cfRule>
    <cfRule type="containsText" dxfId="3" priority="36" operator="containsText" text="False">
      <formula>NOT(ISERROR(SEARCH("False",H5)))</formula>
    </cfRule>
    <cfRule type="expression" dxfId="2" priority="38">
      <formula>$B5&lt;&gt;""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19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EA70CF-47F1-4D39-8C40-7D2DCC3A1100}">
            <x14:dataBar minLength="0" maxLength="100" gradient="0">
              <x14:cfvo type="num">
                <xm:f>0</xm:f>
              </x14:cfvo>
              <x14:cfvo type="num">
                <xm:f>12</xm:f>
              </x14:cfvo>
              <x14:negativeFillColor rgb="FFFF0000"/>
              <x14:axisColor rgb="FF000000"/>
            </x14:dataBar>
          </x14:cfRule>
          <xm:sqref>T5:T28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0299C-3B64-4E85-A2EC-0959141471B6}">
  <sheetPr codeName="Sheet2">
    <tabColor rgb="FFFF9999"/>
  </sheetPr>
  <dimension ref="A1:Q18"/>
  <sheetViews>
    <sheetView topLeftCell="A7" workbookViewId="0">
      <selection activeCell="H21" sqref="H21"/>
    </sheetView>
  </sheetViews>
  <sheetFormatPr defaultRowHeight="15.75" x14ac:dyDescent="0.25"/>
  <cols>
    <col min="1" max="1" width="3.85546875" style="31" customWidth="1"/>
    <col min="2" max="2" width="17" customWidth="1"/>
    <col min="3" max="3" width="20.28515625" customWidth="1"/>
    <col min="4" max="4" width="11.85546875" customWidth="1"/>
    <col min="5" max="5" width="9.85546875" customWidth="1"/>
    <col min="6" max="6" width="11.5703125" customWidth="1"/>
    <col min="7" max="7" width="11" customWidth="1"/>
    <col min="8" max="8" width="8.85546875" customWidth="1"/>
    <col min="12" max="12" width="11.5703125" customWidth="1"/>
    <col min="14" max="14" width="10" customWidth="1"/>
    <col min="15" max="15" width="10.28515625" customWidth="1"/>
    <col min="16" max="16" width="16.5703125" style="30" customWidth="1"/>
    <col min="17" max="17" width="9.140625" style="31"/>
  </cols>
  <sheetData>
    <row r="1" spans="1:17" ht="23.25" customHeight="1" thickBot="1" x14ac:dyDescent="0.3">
      <c r="B1" s="31"/>
      <c r="C1" s="32"/>
      <c r="D1" s="116" t="s">
        <v>5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</row>
    <row r="2" spans="1:17" ht="24.75" customHeight="1" thickBot="1" x14ac:dyDescent="0.3">
      <c r="B2" s="31"/>
      <c r="C2" s="31"/>
      <c r="D2" s="47" t="s">
        <v>15</v>
      </c>
      <c r="E2" s="47" t="s">
        <v>16</v>
      </c>
      <c r="F2" s="47" t="s">
        <v>17</v>
      </c>
      <c r="G2" s="47" t="s">
        <v>18</v>
      </c>
      <c r="H2" s="47" t="s">
        <v>11</v>
      </c>
      <c r="I2" s="47" t="s">
        <v>12</v>
      </c>
      <c r="J2" s="47" t="s">
        <v>13</v>
      </c>
      <c r="K2" s="47" t="s">
        <v>14</v>
      </c>
      <c r="L2" s="47" t="s">
        <v>34</v>
      </c>
      <c r="M2" s="47" t="s">
        <v>35</v>
      </c>
      <c r="N2" s="47" t="s">
        <v>36</v>
      </c>
      <c r="O2" s="47" t="s">
        <v>37</v>
      </c>
      <c r="P2" s="34" t="s">
        <v>6</v>
      </c>
    </row>
    <row r="3" spans="1:17" s="62" customFormat="1" ht="24.75" customHeight="1" thickBot="1" x14ac:dyDescent="0.3">
      <c r="A3" s="60"/>
      <c r="B3" s="117" t="s">
        <v>19</v>
      </c>
      <c r="C3" s="118"/>
      <c r="D3" s="61">
        <f>Accueil!H29*Accueil!$U$4</f>
        <v>850</v>
      </c>
      <c r="E3" s="61">
        <f>Accueil!I29*Accueil!$U$4</f>
        <v>850</v>
      </c>
      <c r="F3" s="61">
        <f>Accueil!J29*Accueil!$U$4</f>
        <v>0</v>
      </c>
      <c r="G3" s="61">
        <f>Accueil!K29*Accueil!$U$4</f>
        <v>0</v>
      </c>
      <c r="H3" s="61">
        <f>Accueil!L29*Accueil!$U$4</f>
        <v>0</v>
      </c>
      <c r="I3" s="61">
        <f>Accueil!M29*Accueil!$U$4</f>
        <v>0</v>
      </c>
      <c r="J3" s="61">
        <f>Accueil!N29*Accueil!$U$4</f>
        <v>0</v>
      </c>
      <c r="K3" s="61">
        <f>Accueil!O29*Accueil!$U$4</f>
        <v>0</v>
      </c>
      <c r="L3" s="61">
        <f>Accueil!P29*Accueil!$U$4</f>
        <v>0</v>
      </c>
      <c r="M3" s="61">
        <f>Accueil!Q29*Accueil!$U$4</f>
        <v>0</v>
      </c>
      <c r="N3" s="61">
        <f>Accueil!R29*Accueil!$U$4</f>
        <v>0</v>
      </c>
      <c r="O3" s="61">
        <f>Accueil!S29*Accueil!$U$4</f>
        <v>0</v>
      </c>
      <c r="P3" s="37">
        <f>SUM(D3:O3)</f>
        <v>1700</v>
      </c>
      <c r="Q3" s="60"/>
    </row>
    <row r="4" spans="1:17" ht="19.5" customHeight="1" thickBot="1" x14ac:dyDescent="0.3">
      <c r="B4" s="119" t="s">
        <v>20</v>
      </c>
      <c r="C4" s="41" t="s">
        <v>21</v>
      </c>
      <c r="D4" s="123">
        <v>1300</v>
      </c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5"/>
      <c r="P4" s="65">
        <f>D4*12</f>
        <v>15600</v>
      </c>
    </row>
    <row r="5" spans="1:17" ht="19.5" customHeight="1" thickBot="1" x14ac:dyDescent="0.3">
      <c r="B5" s="119"/>
      <c r="C5" s="39" t="s">
        <v>24</v>
      </c>
      <c r="D5" s="126">
        <v>300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8"/>
      <c r="P5" s="66">
        <f t="shared" ref="P5:P8" si="0">D5*12</f>
        <v>3600</v>
      </c>
    </row>
    <row r="6" spans="1:17" ht="19.5" customHeight="1" thickBot="1" x14ac:dyDescent="0.3">
      <c r="B6" s="119"/>
      <c r="C6" s="39" t="s">
        <v>33</v>
      </c>
      <c r="D6" s="126">
        <v>800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8"/>
      <c r="P6" s="66">
        <f t="shared" si="0"/>
        <v>9600</v>
      </c>
    </row>
    <row r="7" spans="1:17" ht="19.5" customHeight="1" thickBot="1" x14ac:dyDescent="0.3">
      <c r="B7" s="119"/>
      <c r="C7" s="39" t="s">
        <v>32</v>
      </c>
      <c r="D7" s="126" t="str">
        <f>LEFT(Profs!G10,9)</f>
        <v xml:space="preserve">12000    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8"/>
      <c r="P7" s="66">
        <f t="shared" si="0"/>
        <v>144000</v>
      </c>
    </row>
    <row r="8" spans="1:17" ht="19.5" customHeight="1" thickBot="1" x14ac:dyDescent="0.3">
      <c r="B8" s="119"/>
      <c r="C8" s="39" t="s">
        <v>22</v>
      </c>
      <c r="D8" s="129">
        <v>900</v>
      </c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1"/>
      <c r="P8" s="67">
        <f t="shared" si="0"/>
        <v>10800</v>
      </c>
    </row>
    <row r="9" spans="1:17" ht="19.5" customHeight="1" thickBot="1" x14ac:dyDescent="0.3">
      <c r="B9" s="138" t="s">
        <v>6</v>
      </c>
      <c r="C9" s="139"/>
      <c r="D9" s="132">
        <f>SUM(D4:O8)</f>
        <v>3300</v>
      </c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36">
        <f>SUM(P4:P8)</f>
        <v>183600</v>
      </c>
    </row>
    <row r="10" spans="1:17" ht="19.5" customHeight="1" thickBot="1" x14ac:dyDescent="0.3">
      <c r="B10" s="120" t="s">
        <v>23</v>
      </c>
      <c r="C10" s="40" t="s">
        <v>25</v>
      </c>
      <c r="D10" s="64">
        <v>0</v>
      </c>
      <c r="E10" s="64">
        <v>0</v>
      </c>
      <c r="F10" s="64">
        <v>0</v>
      </c>
      <c r="G10" s="64">
        <v>0</v>
      </c>
      <c r="H10" s="64">
        <v>0</v>
      </c>
      <c r="I10" s="64">
        <v>0</v>
      </c>
      <c r="J10" s="64">
        <v>0</v>
      </c>
      <c r="K10" s="64">
        <v>0</v>
      </c>
      <c r="L10" s="64">
        <v>0</v>
      </c>
      <c r="M10" s="64">
        <v>0</v>
      </c>
      <c r="N10" s="64">
        <v>0</v>
      </c>
      <c r="O10" s="64">
        <v>0</v>
      </c>
      <c r="P10" s="68">
        <f>SUM(D10:O10)</f>
        <v>0</v>
      </c>
    </row>
    <row r="11" spans="1:17" ht="19.5" customHeight="1" thickBot="1" x14ac:dyDescent="0.3">
      <c r="B11" s="120"/>
      <c r="C11" s="40" t="s">
        <v>26</v>
      </c>
      <c r="D11" s="64">
        <v>0</v>
      </c>
      <c r="E11" s="64">
        <v>0</v>
      </c>
      <c r="F11" s="64">
        <v>0</v>
      </c>
      <c r="G11" s="64">
        <v>0</v>
      </c>
      <c r="H11" s="64">
        <v>0</v>
      </c>
      <c r="I11" s="64">
        <v>0</v>
      </c>
      <c r="J11" s="64">
        <v>0</v>
      </c>
      <c r="K11" s="64">
        <v>0</v>
      </c>
      <c r="L11" s="64">
        <v>0</v>
      </c>
      <c r="M11" s="64">
        <v>0</v>
      </c>
      <c r="N11" s="64">
        <v>0</v>
      </c>
      <c r="O11" s="64">
        <v>0</v>
      </c>
      <c r="P11" s="69">
        <f t="shared" ref="P11:P14" si="1">SUM(D11:O11)</f>
        <v>0</v>
      </c>
    </row>
    <row r="12" spans="1:17" ht="19.5" customHeight="1" thickBot="1" x14ac:dyDescent="0.3">
      <c r="B12" s="120"/>
      <c r="C12" s="40" t="s">
        <v>27</v>
      </c>
      <c r="D12" s="64">
        <v>0</v>
      </c>
      <c r="E12" s="64">
        <v>0</v>
      </c>
      <c r="F12" s="64">
        <v>0</v>
      </c>
      <c r="G12" s="64">
        <v>0</v>
      </c>
      <c r="H12" s="64">
        <v>0</v>
      </c>
      <c r="I12" s="64">
        <v>0</v>
      </c>
      <c r="J12" s="64">
        <v>0</v>
      </c>
      <c r="K12" s="64">
        <v>0</v>
      </c>
      <c r="L12" s="64">
        <v>0</v>
      </c>
      <c r="M12" s="64">
        <v>0</v>
      </c>
      <c r="N12" s="64">
        <v>0</v>
      </c>
      <c r="O12" s="64">
        <v>0</v>
      </c>
      <c r="P12" s="69">
        <f t="shared" si="1"/>
        <v>0</v>
      </c>
    </row>
    <row r="13" spans="1:17" ht="19.5" customHeight="1" thickBot="1" x14ac:dyDescent="0.3">
      <c r="B13" s="120"/>
      <c r="C13" s="40" t="s">
        <v>28</v>
      </c>
      <c r="D13" s="64">
        <v>0</v>
      </c>
      <c r="E13" s="64">
        <v>0</v>
      </c>
      <c r="F13" s="64">
        <v>0</v>
      </c>
      <c r="G13" s="64">
        <v>0</v>
      </c>
      <c r="H13" s="64">
        <v>0</v>
      </c>
      <c r="I13" s="64">
        <v>0</v>
      </c>
      <c r="J13" s="64">
        <v>0</v>
      </c>
      <c r="K13" s="64">
        <v>0</v>
      </c>
      <c r="L13" s="64">
        <v>0</v>
      </c>
      <c r="M13" s="64">
        <v>0</v>
      </c>
      <c r="N13" s="64">
        <v>0</v>
      </c>
      <c r="O13" s="64">
        <v>0</v>
      </c>
      <c r="P13" s="69">
        <f t="shared" si="1"/>
        <v>0</v>
      </c>
    </row>
    <row r="14" spans="1:17" ht="19.5" customHeight="1" thickBot="1" x14ac:dyDescent="0.3">
      <c r="B14" s="120"/>
      <c r="C14" s="40" t="s">
        <v>29</v>
      </c>
      <c r="D14" s="64">
        <v>0</v>
      </c>
      <c r="E14" s="64">
        <v>0</v>
      </c>
      <c r="F14" s="64">
        <v>0</v>
      </c>
      <c r="G14" s="64">
        <v>0</v>
      </c>
      <c r="H14" s="64">
        <v>0</v>
      </c>
      <c r="I14" s="64">
        <v>0</v>
      </c>
      <c r="J14" s="64">
        <v>0</v>
      </c>
      <c r="K14" s="64">
        <v>0</v>
      </c>
      <c r="L14" s="64">
        <v>0</v>
      </c>
      <c r="M14" s="64">
        <v>0</v>
      </c>
      <c r="N14" s="64">
        <v>0</v>
      </c>
      <c r="O14" s="64">
        <v>0</v>
      </c>
      <c r="P14" s="34">
        <f t="shared" si="1"/>
        <v>0</v>
      </c>
    </row>
    <row r="15" spans="1:17" ht="19.5" customHeight="1" thickBot="1" x14ac:dyDescent="0.3">
      <c r="B15" s="136" t="s">
        <v>6</v>
      </c>
      <c r="C15" s="137"/>
      <c r="D15" s="49">
        <f>SUM(D10:D14)</f>
        <v>0</v>
      </c>
      <c r="E15" s="50">
        <f t="shared" ref="E15:O15" si="2">SUM(E10:E14)</f>
        <v>0</v>
      </c>
      <c r="F15" s="50">
        <f t="shared" si="2"/>
        <v>0</v>
      </c>
      <c r="G15" s="50">
        <f t="shared" si="2"/>
        <v>0</v>
      </c>
      <c r="H15" s="50">
        <f t="shared" si="2"/>
        <v>0</v>
      </c>
      <c r="I15" s="50">
        <f t="shared" si="2"/>
        <v>0</v>
      </c>
      <c r="J15" s="50">
        <f t="shared" si="2"/>
        <v>0</v>
      </c>
      <c r="K15" s="50">
        <f t="shared" si="2"/>
        <v>0</v>
      </c>
      <c r="L15" s="50">
        <f t="shared" si="2"/>
        <v>0</v>
      </c>
      <c r="M15" s="50">
        <f t="shared" si="2"/>
        <v>0</v>
      </c>
      <c r="N15" s="50">
        <f t="shared" si="2"/>
        <v>0</v>
      </c>
      <c r="O15" s="50">
        <f t="shared" si="2"/>
        <v>0</v>
      </c>
      <c r="P15" s="35">
        <f>SUM(D15:O15)</f>
        <v>0</v>
      </c>
    </row>
    <row r="16" spans="1:17" ht="19.5" customHeight="1" thickBot="1" x14ac:dyDescent="0.3">
      <c r="B16" s="134" t="s">
        <v>31</v>
      </c>
      <c r="C16" s="134"/>
      <c r="D16" s="58" t="str">
        <f ca="1">TEXT(DATE(YEAR(TODAY()), ROW(), 1), "") &amp; "" &amp; TEXT(DATE(YEAR(TODAY()), ROW(W21), 1), "mmmm") &amp; "   /" &amp; YEAR(TODAY())</f>
        <v>septembre   /2025</v>
      </c>
      <c r="E16" s="59" t="str">
        <f ca="1">TEXT(DATE(YEAR(TODAY()), ROW(), 1), "") &amp; "" &amp; TEXT(DATE(YEAR(TODAY()), ROW(W22), 1), "mmmm") &amp; "     /" &amp; YEAR(TODAY())</f>
        <v>octobre     /2025</v>
      </c>
      <c r="F16" s="58" t="str">
        <f ca="1">TEXT(DATE(YEAR(TODAY()), ROW(), 1), "") &amp; "" &amp; TEXT(DATE(YEAR(TODAY()), ROW(W23), 1), "mmmm") &amp; "    /" &amp; YEAR(TODAY())</f>
        <v>novembre    /2025</v>
      </c>
      <c r="G16" s="59" t="str">
        <f ca="1">TEXT(DATE(YEAR(TODAY()), ROW(), 1), "") &amp; "" &amp; TEXT(DATE(YEAR(TODAY()), ROW(W24), 1), "mmmm") &amp; "     /" &amp; YEAR(TODAY())</f>
        <v>décembre     /2025</v>
      </c>
      <c r="H16" s="58" t="str">
        <f ca="1">TEXT(DATE(YEAR(TODAY()), ROW(), 1), "") &amp; "" &amp; TEXT(DATE(YEAR(TODAY()), ROW(W13), 1), "mmmm") &amp; "    /" &amp; YEAR(TODAY())</f>
        <v>janvier    /2025</v>
      </c>
      <c r="I16" s="59" t="str">
        <f ca="1">TEXT(DATE(YEAR(TODAY()), ROW(), 1), "") &amp; "" &amp; TEXT(DATE(YEAR(TODAY()), ROW(W14), 1), "mmmm") &amp; "    /" &amp; YEAR(TODAY())</f>
        <v>février    /2025</v>
      </c>
      <c r="J16" s="58" t="str">
        <f ca="1">TEXT(DATE(YEAR(TODAY()), ROW(), 1), "") &amp; "" &amp; TEXT(DATE(YEAR(TODAY()), ROW(W15), 1), "mmmm") &amp; "       /" &amp; YEAR(TODAY())</f>
        <v>mars       /2025</v>
      </c>
      <c r="K16" s="59" t="str">
        <f ca="1">TEXT(DATE(YEAR(TODAY()), ROW(), 1), "") &amp; "" &amp; TEXT(DATE(YEAR(TODAY()), ROW(W16), 1), "mmmm") &amp; "        /" &amp; YEAR(TODAY())</f>
        <v>avril        /2025</v>
      </c>
      <c r="L16" s="58" t="str">
        <f ca="1">TEXT(DATE(YEAR(TODAY()), ROW(), 1), "") &amp; "" &amp; TEXT(DATE(YEAR(TODAY()), ROW(W17), 1), "mmmm") &amp; "                /" &amp; YEAR(TODAY())</f>
        <v>mai                /2025</v>
      </c>
      <c r="M16" s="59" t="str">
        <f ca="1">TEXT(DATE(YEAR(TODAY()), ROW(), 1), "") &amp; "" &amp; TEXT(DATE(YEAR(TODAY()), ROW(W18), 1), "mmmm") &amp; "            /" &amp; YEAR(TODAY())</f>
        <v>juin            /2025</v>
      </c>
      <c r="N16" s="58" t="str">
        <f ca="1">TEXT(DATE(YEAR(TODAY()), ROW(), 1), "") &amp; "" &amp; TEXT(DATE(YEAR(TODAY()), ROW(W19), 1), "mmmm") &amp; "          /" &amp; YEAR(TODAY())</f>
        <v>juillet          /2025</v>
      </c>
      <c r="O16" s="59" t="str">
        <f ca="1">TEXT(DATE(YEAR(TODAY()), ROW(), 1), "") &amp; "" &amp; TEXT(DATE(YEAR(TODAY()), ROW(W20), 1), "mmmm")</f>
        <v>août</v>
      </c>
      <c r="P16" s="63" t="s">
        <v>68</v>
      </c>
    </row>
    <row r="17" spans="2:16" ht="24" customHeight="1" thickBot="1" x14ac:dyDescent="0.3">
      <c r="B17" s="135"/>
      <c r="C17" s="135"/>
      <c r="D17" s="48">
        <f t="shared" ref="D17:O17" si="3">D3-$D$9-D15</f>
        <v>-2450</v>
      </c>
      <c r="E17" s="48">
        <f t="shared" si="3"/>
        <v>-2450</v>
      </c>
      <c r="F17" s="48">
        <f t="shared" si="3"/>
        <v>-3300</v>
      </c>
      <c r="G17" s="48">
        <f t="shared" si="3"/>
        <v>-3300</v>
      </c>
      <c r="H17" s="48">
        <f t="shared" si="3"/>
        <v>-3300</v>
      </c>
      <c r="I17" s="48">
        <f t="shared" si="3"/>
        <v>-3300</v>
      </c>
      <c r="J17" s="48">
        <f t="shared" si="3"/>
        <v>-3300</v>
      </c>
      <c r="K17" s="48">
        <f t="shared" si="3"/>
        <v>-3300</v>
      </c>
      <c r="L17" s="48">
        <f t="shared" si="3"/>
        <v>-3300</v>
      </c>
      <c r="M17" s="48">
        <f t="shared" si="3"/>
        <v>-3300</v>
      </c>
      <c r="N17" s="48">
        <f t="shared" si="3"/>
        <v>-3300</v>
      </c>
      <c r="O17" s="48">
        <f t="shared" si="3"/>
        <v>-3300</v>
      </c>
      <c r="P17" s="38">
        <f>SUM(D17:O17)</f>
        <v>-37900</v>
      </c>
    </row>
    <row r="18" spans="2:16" ht="33" customHeight="1" thickBot="1" x14ac:dyDescent="0.3">
      <c r="B18" s="33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121" t="s">
        <v>30</v>
      </c>
      <c r="N18" s="122"/>
      <c r="O18" s="122"/>
      <c r="P18" s="42" t="str">
        <f>(P3-(P9+P15)&amp;"  dh")</f>
        <v>-181900  dh</v>
      </c>
    </row>
  </sheetData>
  <mergeCells count="14">
    <mergeCell ref="D1:P1"/>
    <mergeCell ref="B3:C3"/>
    <mergeCell ref="B4:B8"/>
    <mergeCell ref="B10:B14"/>
    <mergeCell ref="M18:O18"/>
    <mergeCell ref="D4:O4"/>
    <mergeCell ref="D5:O5"/>
    <mergeCell ref="D6:O6"/>
    <mergeCell ref="D7:O7"/>
    <mergeCell ref="D8:O8"/>
    <mergeCell ref="D9:O9"/>
    <mergeCell ref="B16:C17"/>
    <mergeCell ref="B15:C15"/>
    <mergeCell ref="B9:C9"/>
  </mergeCells>
  <phoneticPr fontId="3" type="noConversion"/>
  <conditionalFormatting sqref="P17">
    <cfRule type="colorScale" priority="3">
      <colorScale>
        <cfvo type="num" val="1"/>
        <cfvo type="max"/>
        <color rgb="FFFF9999"/>
        <color rgb="FF99FF99"/>
      </colorScale>
    </cfRule>
  </conditionalFormatting>
  <conditionalFormatting sqref="D17:O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:O16">
    <cfRule type="timePeriod" dxfId="1" priority="1" timePeriod="thisMonth">
      <formula>AND(MONTH(D16)=MONTH(TODAY()),YEAR(D16)=YEAR(TODAY()))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044C5-8AC5-4C40-82EE-B6403145EEC8}">
  <sheetPr codeName="Sheet3">
    <tabColor rgb="FFFFC000"/>
  </sheetPr>
  <dimension ref="A1:V225"/>
  <sheetViews>
    <sheetView workbookViewId="0">
      <selection activeCell="F5" sqref="F5"/>
    </sheetView>
  </sheetViews>
  <sheetFormatPr defaultRowHeight="15" x14ac:dyDescent="0.25"/>
  <cols>
    <col min="1" max="1" width="5" style="62" customWidth="1"/>
    <col min="2" max="4" width="11.85546875" customWidth="1"/>
    <col min="5" max="5" width="12.85546875" style="1" customWidth="1"/>
    <col min="6" max="6" width="21.5703125" style="1" customWidth="1"/>
    <col min="7" max="7" width="20.5703125" customWidth="1"/>
    <col min="8" max="8" width="13.140625" style="1" customWidth="1"/>
    <col min="9" max="9" width="18.28515625" style="1" customWidth="1"/>
    <col min="10" max="10" width="21.140625" style="1" customWidth="1"/>
    <col min="11" max="11" width="12" customWidth="1"/>
  </cols>
  <sheetData>
    <row r="1" spans="1:22" ht="15.75" thickBot="1" x14ac:dyDescent="0.3">
      <c r="A1" s="60"/>
      <c r="B1" s="31"/>
      <c r="C1" s="31"/>
      <c r="D1" s="31"/>
      <c r="E1" s="32"/>
      <c r="F1" s="32"/>
      <c r="G1" s="31"/>
      <c r="H1" s="32"/>
      <c r="I1" s="32"/>
      <c r="J1" s="32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</row>
    <row r="2" spans="1:22" ht="36.75" customHeight="1" thickBot="1" x14ac:dyDescent="0.3">
      <c r="A2" s="73" t="s">
        <v>67</v>
      </c>
      <c r="B2" s="73" t="s">
        <v>3</v>
      </c>
      <c r="C2" s="73" t="s">
        <v>0</v>
      </c>
      <c r="D2" s="73" t="s">
        <v>7</v>
      </c>
      <c r="E2" s="74" t="s">
        <v>61</v>
      </c>
      <c r="F2" s="74" t="s">
        <v>62</v>
      </c>
      <c r="G2" s="73" t="s">
        <v>38</v>
      </c>
      <c r="H2" s="74" t="s">
        <v>63</v>
      </c>
      <c r="I2" s="74" t="s">
        <v>64</v>
      </c>
      <c r="J2" s="74" t="s">
        <v>65</v>
      </c>
      <c r="K2" s="54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</row>
    <row r="3" spans="1:22" ht="15.75" x14ac:dyDescent="0.25">
      <c r="A3" s="76">
        <v>1</v>
      </c>
      <c r="B3" s="75" t="s">
        <v>73</v>
      </c>
      <c r="C3" s="77" t="s">
        <v>74</v>
      </c>
      <c r="D3" s="77" t="s">
        <v>71</v>
      </c>
      <c r="E3" s="83" t="s">
        <v>75</v>
      </c>
      <c r="F3" s="75" t="s">
        <v>76</v>
      </c>
      <c r="G3" s="78" t="s">
        <v>53</v>
      </c>
      <c r="H3" s="75" t="s">
        <v>77</v>
      </c>
      <c r="I3" s="75" t="s">
        <v>78</v>
      </c>
      <c r="J3" s="75" t="s">
        <v>79</v>
      </c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</row>
    <row r="4" spans="1:22" ht="15.75" x14ac:dyDescent="0.25">
      <c r="A4" s="76"/>
      <c r="B4" s="75"/>
      <c r="C4" s="77"/>
      <c r="D4" s="77"/>
      <c r="E4" s="83"/>
      <c r="F4" s="75"/>
      <c r="G4" s="78"/>
      <c r="H4" s="75"/>
      <c r="I4" s="75"/>
      <c r="J4" s="75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</row>
    <row r="5" spans="1:22" ht="15.75" x14ac:dyDescent="0.25">
      <c r="A5" s="76"/>
      <c r="B5" s="75"/>
      <c r="C5" s="77"/>
      <c r="D5" s="77"/>
      <c r="E5" s="83"/>
      <c r="F5" s="75"/>
      <c r="G5" s="78"/>
      <c r="H5" s="75"/>
      <c r="I5" s="75"/>
      <c r="J5" s="75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</row>
    <row r="6" spans="1:22" ht="15.75" x14ac:dyDescent="0.25">
      <c r="A6" s="76"/>
      <c r="B6" s="75"/>
      <c r="C6" s="77"/>
      <c r="D6" s="77"/>
      <c r="E6" s="83"/>
      <c r="F6" s="75"/>
      <c r="G6" s="78"/>
      <c r="H6" s="75"/>
      <c r="I6" s="75"/>
      <c r="J6" s="75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</row>
    <row r="7" spans="1:22" ht="15.75" x14ac:dyDescent="0.25">
      <c r="A7" s="76"/>
      <c r="B7" s="75"/>
      <c r="C7" s="77"/>
      <c r="D7" s="77"/>
      <c r="E7" s="83"/>
      <c r="F7" s="75"/>
      <c r="G7" s="78"/>
      <c r="H7" s="75"/>
      <c r="I7" s="75"/>
      <c r="J7" s="75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ht="15.75" x14ac:dyDescent="0.25">
      <c r="A8" s="76"/>
      <c r="B8" s="75"/>
      <c r="C8" s="77"/>
      <c r="D8" s="77"/>
      <c r="E8" s="83"/>
      <c r="F8" s="75"/>
      <c r="G8" s="78"/>
      <c r="H8" s="75"/>
      <c r="I8" s="75"/>
      <c r="J8" s="75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76"/>
      <c r="B9" s="75"/>
      <c r="C9" s="77"/>
      <c r="D9" s="77"/>
      <c r="E9" s="83"/>
      <c r="F9" s="75"/>
      <c r="G9" s="78"/>
      <c r="H9" s="75"/>
      <c r="I9" s="75"/>
      <c r="J9" s="75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</row>
    <row r="10" spans="1:22" ht="15.75" x14ac:dyDescent="0.25">
      <c r="A10" s="76"/>
      <c r="B10" s="75"/>
      <c r="C10" s="77"/>
      <c r="D10" s="77"/>
      <c r="E10" s="83"/>
      <c r="F10" s="75"/>
      <c r="G10" s="78"/>
      <c r="H10" s="75"/>
      <c r="I10" s="75"/>
      <c r="J10" s="75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</row>
    <row r="11" spans="1:22" ht="15.75" x14ac:dyDescent="0.25">
      <c r="A11" s="76"/>
      <c r="B11" s="75"/>
      <c r="C11" s="77"/>
      <c r="D11" s="77"/>
      <c r="E11" s="83"/>
      <c r="F11" s="75"/>
      <c r="G11" s="78"/>
      <c r="H11" s="75"/>
      <c r="I11" s="75"/>
      <c r="J11" s="75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</row>
    <row r="12" spans="1:22" ht="15.75" x14ac:dyDescent="0.25">
      <c r="A12" s="76"/>
      <c r="B12" s="75"/>
      <c r="C12" s="77"/>
      <c r="D12" s="77"/>
      <c r="E12" s="83"/>
      <c r="F12" s="75"/>
      <c r="G12" s="78"/>
      <c r="H12" s="75"/>
      <c r="I12" s="75"/>
      <c r="J12" s="75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</row>
    <row r="13" spans="1:22" ht="15.75" x14ac:dyDescent="0.25">
      <c r="A13" s="76"/>
      <c r="B13" s="75"/>
      <c r="C13" s="77"/>
      <c r="D13" s="77"/>
      <c r="E13" s="83"/>
      <c r="F13" s="75"/>
      <c r="G13" s="78"/>
      <c r="H13" s="75"/>
      <c r="I13" s="75"/>
      <c r="J13" s="75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</row>
    <row r="14" spans="1:22" ht="15.75" x14ac:dyDescent="0.25">
      <c r="A14" s="76"/>
      <c r="B14" s="75"/>
      <c r="C14" s="77"/>
      <c r="D14" s="77"/>
      <c r="E14" s="83"/>
      <c r="F14" s="75"/>
      <c r="G14" s="78"/>
      <c r="H14" s="75"/>
      <c r="I14" s="75"/>
      <c r="J14" s="75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</row>
    <row r="15" spans="1:22" ht="15.75" x14ac:dyDescent="0.25">
      <c r="A15" s="76"/>
      <c r="B15" s="75"/>
      <c r="C15" s="77"/>
      <c r="D15" s="77"/>
      <c r="E15" s="83"/>
      <c r="F15" s="75"/>
      <c r="G15" s="78"/>
      <c r="H15" s="75"/>
      <c r="I15" s="75"/>
      <c r="J15" s="75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</row>
    <row r="16" spans="1:22" ht="15.75" x14ac:dyDescent="0.25">
      <c r="A16" s="76"/>
      <c r="B16" s="75"/>
      <c r="C16" s="77"/>
      <c r="D16" s="77"/>
      <c r="E16" s="83"/>
      <c r="F16" s="75"/>
      <c r="G16" s="78"/>
      <c r="H16" s="75"/>
      <c r="I16" s="75"/>
      <c r="J16" s="75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</row>
    <row r="17" spans="1:22" ht="15.75" x14ac:dyDescent="0.25">
      <c r="A17" s="76"/>
      <c r="B17" s="75"/>
      <c r="C17" s="77"/>
      <c r="D17" s="77"/>
      <c r="E17" s="83"/>
      <c r="F17" s="75"/>
      <c r="G17" s="78"/>
      <c r="H17" s="75"/>
      <c r="I17" s="75"/>
      <c r="J17" s="75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</row>
    <row r="18" spans="1:22" ht="15.75" x14ac:dyDescent="0.25">
      <c r="A18" s="76"/>
      <c r="B18" s="75"/>
      <c r="C18" s="77"/>
      <c r="D18" s="77"/>
      <c r="E18" s="83"/>
      <c r="F18" s="75"/>
      <c r="G18" s="78"/>
      <c r="H18" s="75"/>
      <c r="I18" s="75"/>
      <c r="J18" s="75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</row>
    <row r="19" spans="1:22" ht="15.75" x14ac:dyDescent="0.25">
      <c r="A19" s="76"/>
      <c r="B19" s="75"/>
      <c r="C19" s="77"/>
      <c r="D19" s="77"/>
      <c r="E19" s="83"/>
      <c r="F19" s="75"/>
      <c r="G19" s="78"/>
      <c r="H19" s="75"/>
      <c r="I19" s="75"/>
      <c r="J19" s="75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</row>
    <row r="20" spans="1:22" ht="15.75" x14ac:dyDescent="0.25">
      <c r="A20" s="76"/>
      <c r="B20" s="75"/>
      <c r="C20" s="77"/>
      <c r="D20" s="77"/>
      <c r="E20" s="83"/>
      <c r="F20" s="75"/>
      <c r="G20" s="78"/>
      <c r="H20" s="75"/>
      <c r="I20" s="75"/>
      <c r="J20" s="75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</row>
    <row r="21" spans="1:22" ht="15.75" x14ac:dyDescent="0.25">
      <c r="A21" s="76"/>
      <c r="B21" s="75"/>
      <c r="C21" s="77"/>
      <c r="D21" s="77"/>
      <c r="E21" s="83"/>
      <c r="F21" s="75"/>
      <c r="G21" s="78"/>
      <c r="H21" s="75"/>
      <c r="I21" s="75"/>
      <c r="J21" s="75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</row>
    <row r="22" spans="1:22" ht="15.75" x14ac:dyDescent="0.25">
      <c r="A22" s="76"/>
      <c r="B22" s="75"/>
      <c r="C22" s="77"/>
      <c r="D22" s="77"/>
      <c r="E22" s="83"/>
      <c r="F22" s="75"/>
      <c r="G22" s="78"/>
      <c r="H22" s="75"/>
      <c r="I22" s="75"/>
      <c r="J22" s="75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</row>
    <row r="23" spans="1:22" ht="15.75" x14ac:dyDescent="0.25">
      <c r="A23" s="76"/>
      <c r="B23" s="75"/>
      <c r="C23" s="77"/>
      <c r="D23" s="77"/>
      <c r="E23" s="83"/>
      <c r="F23" s="75"/>
      <c r="G23" s="78"/>
      <c r="H23" s="75"/>
      <c r="I23" s="75"/>
      <c r="J23" s="75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</row>
    <row r="24" spans="1:22" ht="15.75" x14ac:dyDescent="0.25">
      <c r="A24" s="76"/>
      <c r="B24" s="75"/>
      <c r="C24" s="77"/>
      <c r="D24" s="77"/>
      <c r="E24" s="83"/>
      <c r="F24" s="75"/>
      <c r="G24" s="78"/>
      <c r="H24" s="75"/>
      <c r="I24" s="75"/>
      <c r="J24" s="75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</row>
    <row r="25" spans="1:22" ht="15.75" x14ac:dyDescent="0.25">
      <c r="A25" s="76"/>
      <c r="B25" s="75"/>
      <c r="C25" s="77"/>
      <c r="D25" s="77"/>
      <c r="E25" s="83"/>
      <c r="F25" s="75"/>
      <c r="G25" s="78"/>
      <c r="H25" s="75"/>
      <c r="I25" s="75"/>
      <c r="J25" s="75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</row>
    <row r="26" spans="1:22" x14ac:dyDescent="0.25">
      <c r="A26" s="76"/>
      <c r="B26" s="75"/>
      <c r="C26" s="77"/>
      <c r="D26" s="77"/>
      <c r="E26" s="83"/>
      <c r="F26" s="75"/>
      <c r="G26" s="77"/>
      <c r="H26" s="75"/>
      <c r="I26" s="75"/>
      <c r="J26" s="75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</row>
    <row r="27" spans="1:22" x14ac:dyDescent="0.25">
      <c r="A27" s="76"/>
      <c r="B27" s="75"/>
      <c r="C27" s="77"/>
      <c r="D27" s="77"/>
      <c r="E27" s="83"/>
      <c r="F27" s="75"/>
      <c r="G27" s="77"/>
      <c r="H27" s="75"/>
      <c r="I27" s="75"/>
      <c r="J27" s="75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</row>
    <row r="28" spans="1:22" x14ac:dyDescent="0.25">
      <c r="A28" s="76"/>
      <c r="B28" s="75"/>
      <c r="C28" s="77"/>
      <c r="D28" s="77"/>
      <c r="E28" s="83"/>
      <c r="F28" s="75"/>
      <c r="G28" s="77"/>
      <c r="H28" s="75"/>
      <c r="I28" s="75"/>
      <c r="J28" s="75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</row>
    <row r="29" spans="1:22" x14ac:dyDescent="0.25">
      <c r="A29" s="76"/>
      <c r="B29" s="75"/>
      <c r="C29" s="77"/>
      <c r="D29" s="77"/>
      <c r="E29" s="83"/>
      <c r="F29" s="75"/>
      <c r="G29" s="77"/>
      <c r="H29" s="75"/>
      <c r="I29" s="75"/>
      <c r="J29" s="75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</row>
    <row r="30" spans="1:22" x14ac:dyDescent="0.25">
      <c r="A30" s="76"/>
      <c r="B30" s="75"/>
      <c r="C30" s="77"/>
      <c r="D30" s="77"/>
      <c r="E30" s="75"/>
      <c r="F30" s="75"/>
      <c r="G30" s="77"/>
      <c r="H30" s="75"/>
      <c r="I30" s="75"/>
      <c r="J30" s="75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</row>
    <row r="31" spans="1:22" x14ac:dyDescent="0.25">
      <c r="A31" s="76"/>
      <c r="B31" s="75"/>
      <c r="C31" s="77"/>
      <c r="D31" s="77"/>
      <c r="E31" s="75"/>
      <c r="F31" s="75"/>
      <c r="G31" s="77"/>
      <c r="H31" s="75"/>
      <c r="I31" s="75"/>
      <c r="J31" s="75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</row>
    <row r="32" spans="1:22" x14ac:dyDescent="0.25">
      <c r="A32" s="76"/>
      <c r="B32" s="75"/>
      <c r="C32" s="77"/>
      <c r="D32" s="77"/>
      <c r="E32" s="75"/>
      <c r="F32" s="75"/>
      <c r="G32" s="77"/>
      <c r="H32" s="75"/>
      <c r="I32" s="75"/>
      <c r="J32" s="75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</row>
    <row r="33" spans="1:22" x14ac:dyDescent="0.25">
      <c r="A33" s="76"/>
      <c r="B33" s="75"/>
      <c r="C33" s="77"/>
      <c r="D33" s="77"/>
      <c r="E33" s="75"/>
      <c r="F33" s="75"/>
      <c r="G33" s="77"/>
      <c r="H33" s="75"/>
      <c r="I33" s="75"/>
      <c r="J33" s="75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</row>
    <row r="34" spans="1:22" x14ac:dyDescent="0.25">
      <c r="A34" s="76"/>
      <c r="B34" s="75"/>
      <c r="C34" s="77"/>
      <c r="D34" s="77"/>
      <c r="E34" s="75"/>
      <c r="F34" s="75"/>
      <c r="G34" s="77"/>
      <c r="H34" s="75"/>
      <c r="I34" s="75"/>
      <c r="J34" s="75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</row>
    <row r="35" spans="1:22" x14ac:dyDescent="0.25">
      <c r="A35" s="76"/>
      <c r="B35" s="75"/>
      <c r="C35" s="77"/>
      <c r="D35" s="77"/>
      <c r="E35" s="75"/>
      <c r="F35" s="75"/>
      <c r="G35" s="77"/>
      <c r="H35" s="75"/>
      <c r="I35" s="75"/>
      <c r="J35" s="75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</row>
    <row r="36" spans="1:22" x14ac:dyDescent="0.25">
      <c r="A36" s="76"/>
      <c r="B36" s="75"/>
      <c r="C36" s="77"/>
      <c r="D36" s="77"/>
      <c r="E36" s="75"/>
      <c r="F36" s="75"/>
      <c r="G36" s="77"/>
      <c r="H36" s="75"/>
      <c r="I36" s="75"/>
      <c r="J36" s="75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</row>
    <row r="37" spans="1:22" x14ac:dyDescent="0.25">
      <c r="A37" s="76"/>
      <c r="B37" s="75"/>
      <c r="C37" s="77"/>
      <c r="D37" s="77"/>
      <c r="E37" s="75"/>
      <c r="F37" s="75"/>
      <c r="G37" s="77"/>
      <c r="H37" s="75"/>
      <c r="I37" s="75"/>
      <c r="J37" s="75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</row>
    <row r="38" spans="1:22" x14ac:dyDescent="0.25">
      <c r="A38" s="76"/>
      <c r="B38" s="75"/>
      <c r="C38" s="77"/>
      <c r="D38" s="77"/>
      <c r="E38" s="75"/>
      <c r="F38" s="75"/>
      <c r="G38" s="77"/>
      <c r="H38" s="75"/>
      <c r="I38" s="75"/>
      <c r="J38" s="75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</row>
    <row r="39" spans="1:22" x14ac:dyDescent="0.25">
      <c r="A39" s="76"/>
      <c r="B39" s="75"/>
      <c r="C39" s="77"/>
      <c r="D39" s="77"/>
      <c r="E39" s="75"/>
      <c r="F39" s="75"/>
      <c r="G39" s="77"/>
      <c r="H39" s="75"/>
      <c r="I39" s="75"/>
      <c r="J39" s="75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</row>
    <row r="40" spans="1:22" x14ac:dyDescent="0.25">
      <c r="A40" s="76"/>
      <c r="B40" s="75"/>
      <c r="C40" s="77"/>
      <c r="D40" s="77"/>
      <c r="E40" s="75"/>
      <c r="F40" s="75"/>
      <c r="G40" s="77"/>
      <c r="H40" s="75"/>
      <c r="I40" s="75"/>
      <c r="J40" s="75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</row>
    <row r="41" spans="1:22" x14ac:dyDescent="0.25">
      <c r="A41" s="76"/>
      <c r="B41" s="75"/>
      <c r="C41" s="77"/>
      <c r="D41" s="77"/>
      <c r="E41" s="75"/>
      <c r="F41" s="75"/>
      <c r="G41" s="77"/>
      <c r="H41" s="75"/>
      <c r="I41" s="75"/>
      <c r="J41" s="75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</row>
    <row r="42" spans="1:22" x14ac:dyDescent="0.25">
      <c r="A42" s="76"/>
      <c r="B42" s="75"/>
      <c r="C42" s="77"/>
      <c r="D42" s="77"/>
      <c r="E42" s="75"/>
      <c r="F42" s="75"/>
      <c r="G42" s="77"/>
      <c r="H42" s="75"/>
      <c r="I42" s="75"/>
      <c r="J42" s="75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</row>
    <row r="43" spans="1:22" x14ac:dyDescent="0.25">
      <c r="A43" s="76"/>
      <c r="B43" s="75"/>
      <c r="C43" s="77"/>
      <c r="D43" s="77"/>
      <c r="E43" s="75"/>
      <c r="F43" s="75"/>
      <c r="G43" s="77"/>
      <c r="H43" s="75"/>
      <c r="I43" s="75"/>
      <c r="J43" s="75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</row>
    <row r="44" spans="1:22" x14ac:dyDescent="0.25">
      <c r="A44" s="76"/>
      <c r="B44" s="75"/>
      <c r="C44" s="77"/>
      <c r="D44" s="77"/>
      <c r="E44" s="75"/>
      <c r="F44" s="75"/>
      <c r="G44" s="77"/>
      <c r="H44" s="75"/>
      <c r="I44" s="75"/>
      <c r="J44" s="75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</row>
    <row r="45" spans="1:22" x14ac:dyDescent="0.25">
      <c r="A45" s="76"/>
      <c r="B45" s="75"/>
      <c r="C45" s="77"/>
      <c r="D45" s="77"/>
      <c r="E45" s="75"/>
      <c r="F45" s="75"/>
      <c r="G45" s="77"/>
      <c r="H45" s="75"/>
      <c r="I45" s="75"/>
      <c r="J45" s="75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</row>
    <row r="46" spans="1:22" x14ac:dyDescent="0.25">
      <c r="A46" s="76"/>
      <c r="B46" s="75"/>
      <c r="C46" s="77"/>
      <c r="D46" s="77"/>
      <c r="E46" s="75"/>
      <c r="F46" s="75"/>
      <c r="G46" s="77"/>
      <c r="H46" s="75"/>
      <c r="I46" s="75"/>
      <c r="J46" s="75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</row>
    <row r="47" spans="1:22" x14ac:dyDescent="0.25">
      <c r="A47" s="76"/>
      <c r="B47" s="75"/>
      <c r="C47" s="77"/>
      <c r="D47" s="77"/>
      <c r="E47" s="75"/>
      <c r="F47" s="75"/>
      <c r="G47" s="77"/>
      <c r="H47" s="75"/>
      <c r="I47" s="75"/>
      <c r="J47" s="75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</row>
    <row r="48" spans="1:22" x14ac:dyDescent="0.25">
      <c r="A48" s="76"/>
      <c r="B48" s="75"/>
      <c r="C48" s="77"/>
      <c r="D48" s="77"/>
      <c r="E48" s="75"/>
      <c r="F48" s="75"/>
      <c r="G48" s="77"/>
      <c r="H48" s="75"/>
      <c r="I48" s="75"/>
      <c r="J48" s="75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</row>
    <row r="49" spans="1:22" x14ac:dyDescent="0.25">
      <c r="A49" s="76"/>
      <c r="B49" s="75"/>
      <c r="C49" s="77"/>
      <c r="D49" s="77"/>
      <c r="E49" s="75"/>
      <c r="F49" s="75"/>
      <c r="G49" s="77"/>
      <c r="H49" s="75"/>
      <c r="I49" s="75"/>
      <c r="J49" s="75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</row>
    <row r="50" spans="1:22" x14ac:dyDescent="0.25">
      <c r="A50" s="76"/>
      <c r="B50" s="75"/>
      <c r="C50" s="77"/>
      <c r="D50" s="77"/>
      <c r="E50" s="75"/>
      <c r="F50" s="75"/>
      <c r="G50" s="77"/>
      <c r="H50" s="75"/>
      <c r="I50" s="75"/>
      <c r="J50" s="75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</row>
    <row r="51" spans="1:22" x14ac:dyDescent="0.25">
      <c r="A51" s="76"/>
      <c r="B51" s="75"/>
      <c r="C51" s="77"/>
      <c r="D51" s="77"/>
      <c r="E51" s="75"/>
      <c r="F51" s="75"/>
      <c r="G51" s="77"/>
      <c r="H51" s="75"/>
      <c r="I51" s="75"/>
      <c r="J51" s="75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</row>
    <row r="52" spans="1:22" x14ac:dyDescent="0.25">
      <c r="A52" s="76"/>
      <c r="B52" s="75"/>
      <c r="C52" s="77"/>
      <c r="D52" s="77"/>
      <c r="E52" s="75"/>
      <c r="F52" s="75"/>
      <c r="G52" s="77"/>
      <c r="H52" s="75"/>
      <c r="I52" s="75"/>
      <c r="J52" s="75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</row>
    <row r="53" spans="1:22" x14ac:dyDescent="0.25">
      <c r="A53" s="76"/>
      <c r="B53" s="75"/>
      <c r="C53" s="77"/>
      <c r="D53" s="77"/>
      <c r="E53" s="75"/>
      <c r="F53" s="75"/>
      <c r="G53" s="77"/>
      <c r="H53" s="75"/>
      <c r="I53" s="75"/>
      <c r="J53" s="75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</row>
    <row r="54" spans="1:22" x14ac:dyDescent="0.25">
      <c r="A54" s="76"/>
      <c r="B54" s="75"/>
      <c r="C54" s="77"/>
      <c r="D54" s="77"/>
      <c r="E54" s="75"/>
      <c r="F54" s="75"/>
      <c r="G54" s="77"/>
      <c r="H54" s="75"/>
      <c r="I54" s="75"/>
      <c r="J54" s="75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</row>
    <row r="55" spans="1:22" x14ac:dyDescent="0.25">
      <c r="A55" s="76"/>
      <c r="B55" s="75"/>
      <c r="C55" s="77"/>
      <c r="D55" s="77"/>
      <c r="E55" s="75"/>
      <c r="F55" s="75"/>
      <c r="G55" s="77"/>
      <c r="H55" s="75"/>
      <c r="I55" s="75"/>
      <c r="J55" s="75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</row>
    <row r="56" spans="1:22" x14ac:dyDescent="0.25">
      <c r="A56" s="76"/>
      <c r="B56" s="75"/>
      <c r="C56" s="77"/>
      <c r="D56" s="77"/>
      <c r="E56" s="75"/>
      <c r="F56" s="75"/>
      <c r="G56" s="77"/>
      <c r="H56" s="75"/>
      <c r="I56" s="75"/>
      <c r="J56" s="75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</row>
    <row r="57" spans="1:22" x14ac:dyDescent="0.25">
      <c r="A57" s="76"/>
      <c r="B57" s="75"/>
      <c r="C57" s="77"/>
      <c r="D57" s="77"/>
      <c r="E57" s="75"/>
      <c r="F57" s="75"/>
      <c r="G57" s="77"/>
      <c r="H57" s="75"/>
      <c r="I57" s="75"/>
      <c r="J57" s="75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</row>
    <row r="58" spans="1:22" x14ac:dyDescent="0.25">
      <c r="A58" s="76"/>
      <c r="B58" s="75"/>
      <c r="C58" s="77"/>
      <c r="D58" s="77"/>
      <c r="E58" s="75"/>
      <c r="F58" s="75"/>
      <c r="G58" s="77"/>
      <c r="H58" s="75"/>
      <c r="I58" s="75"/>
      <c r="J58" s="75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</row>
    <row r="59" spans="1:22" x14ac:dyDescent="0.25">
      <c r="A59" s="76"/>
      <c r="B59" s="75"/>
      <c r="C59" s="77"/>
      <c r="D59" s="77"/>
      <c r="E59" s="75"/>
      <c r="F59" s="75"/>
      <c r="G59" s="77"/>
      <c r="H59" s="75"/>
      <c r="I59" s="75"/>
      <c r="J59" s="75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</row>
    <row r="60" spans="1:22" x14ac:dyDescent="0.25">
      <c r="A60" s="76"/>
      <c r="B60" s="75"/>
      <c r="C60" s="77"/>
      <c r="D60" s="77"/>
      <c r="E60" s="75"/>
      <c r="F60" s="75"/>
      <c r="G60" s="77"/>
      <c r="H60" s="75"/>
      <c r="I60" s="75"/>
      <c r="J60" s="75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</row>
    <row r="61" spans="1:22" x14ac:dyDescent="0.25">
      <c r="A61" s="76"/>
      <c r="B61" s="75"/>
      <c r="C61" s="77"/>
      <c r="D61" s="77"/>
      <c r="E61" s="75"/>
      <c r="F61" s="75"/>
      <c r="G61" s="77"/>
      <c r="H61" s="75"/>
      <c r="I61" s="75"/>
      <c r="J61" s="75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</row>
    <row r="62" spans="1:22" x14ac:dyDescent="0.25">
      <c r="A62" s="76"/>
      <c r="B62" s="75"/>
      <c r="C62" s="77"/>
      <c r="D62" s="77"/>
      <c r="E62" s="75"/>
      <c r="F62" s="75"/>
      <c r="G62" s="77"/>
      <c r="H62" s="75"/>
      <c r="I62" s="75"/>
      <c r="J62" s="75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</row>
    <row r="63" spans="1:22" x14ac:dyDescent="0.25">
      <c r="A63" s="76"/>
      <c r="B63" s="75"/>
      <c r="C63" s="77"/>
      <c r="D63" s="77"/>
      <c r="E63" s="75"/>
      <c r="F63" s="75"/>
      <c r="G63" s="77"/>
      <c r="H63" s="75"/>
      <c r="I63" s="75"/>
      <c r="J63" s="75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</row>
    <row r="64" spans="1:22" x14ac:dyDescent="0.25">
      <c r="A64" s="76"/>
      <c r="B64" s="75"/>
      <c r="C64" s="77"/>
      <c r="D64" s="77"/>
      <c r="E64" s="75"/>
      <c r="F64" s="75"/>
      <c r="G64" s="77"/>
      <c r="H64" s="75"/>
      <c r="I64" s="75"/>
      <c r="J64" s="75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</row>
    <row r="65" spans="1:22" x14ac:dyDescent="0.25">
      <c r="A65" s="76"/>
      <c r="B65" s="75"/>
      <c r="C65" s="77"/>
      <c r="D65" s="77"/>
      <c r="E65" s="75"/>
      <c r="F65" s="75"/>
      <c r="G65" s="77"/>
      <c r="H65" s="75"/>
      <c r="I65" s="75"/>
      <c r="J65" s="75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</row>
    <row r="66" spans="1:22" x14ac:dyDescent="0.25">
      <c r="A66" s="76"/>
      <c r="B66" s="75"/>
      <c r="C66" s="77"/>
      <c r="D66" s="77"/>
      <c r="E66" s="75"/>
      <c r="F66" s="75"/>
      <c r="G66" s="77"/>
      <c r="H66" s="75"/>
      <c r="I66" s="75"/>
      <c r="J66" s="75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</row>
    <row r="67" spans="1:22" x14ac:dyDescent="0.25">
      <c r="A67" s="76"/>
      <c r="B67" s="75"/>
      <c r="C67" s="77"/>
      <c r="D67" s="77"/>
      <c r="E67" s="75"/>
      <c r="F67" s="75"/>
      <c r="G67" s="77"/>
      <c r="H67" s="75"/>
      <c r="I67" s="75"/>
      <c r="J67" s="75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</row>
    <row r="68" spans="1:22" x14ac:dyDescent="0.25">
      <c r="A68" s="76"/>
      <c r="B68" s="75"/>
      <c r="C68" s="77"/>
      <c r="D68" s="77"/>
      <c r="E68" s="75"/>
      <c r="F68" s="75"/>
      <c r="G68" s="77"/>
      <c r="H68" s="75"/>
      <c r="I68" s="75"/>
      <c r="J68" s="75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</row>
    <row r="69" spans="1:22" x14ac:dyDescent="0.25">
      <c r="A69" s="76"/>
      <c r="B69" s="75"/>
      <c r="C69" s="77"/>
      <c r="D69" s="77"/>
      <c r="E69" s="75"/>
      <c r="F69" s="75"/>
      <c r="G69" s="77"/>
      <c r="H69" s="75"/>
      <c r="I69" s="75"/>
      <c r="J69" s="75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</row>
    <row r="70" spans="1:22" x14ac:dyDescent="0.25">
      <c r="A70" s="76"/>
      <c r="B70" s="75"/>
      <c r="C70" s="77"/>
      <c r="D70" s="77"/>
      <c r="E70" s="75"/>
      <c r="F70" s="75"/>
      <c r="G70" s="77"/>
      <c r="H70" s="75"/>
      <c r="I70" s="75"/>
      <c r="J70" s="75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</row>
    <row r="71" spans="1:22" x14ac:dyDescent="0.25">
      <c r="A71" s="76"/>
      <c r="B71" s="75"/>
      <c r="C71" s="77"/>
      <c r="D71" s="77"/>
      <c r="E71" s="75"/>
      <c r="F71" s="75"/>
      <c r="G71" s="77"/>
      <c r="H71" s="75"/>
      <c r="I71" s="75"/>
      <c r="J71" s="75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</row>
    <row r="72" spans="1:22" x14ac:dyDescent="0.25">
      <c r="A72" s="76"/>
      <c r="B72" s="75"/>
      <c r="C72" s="77"/>
      <c r="D72" s="77"/>
      <c r="E72" s="75"/>
      <c r="F72" s="75"/>
      <c r="G72" s="77"/>
      <c r="H72" s="75"/>
      <c r="I72" s="75"/>
      <c r="J72" s="75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</row>
    <row r="73" spans="1:22" x14ac:dyDescent="0.25">
      <c r="A73" s="76"/>
      <c r="B73" s="75"/>
      <c r="C73" s="77"/>
      <c r="D73" s="77"/>
      <c r="E73" s="75"/>
      <c r="F73" s="75"/>
      <c r="G73" s="77"/>
      <c r="H73" s="75"/>
      <c r="I73" s="75"/>
      <c r="J73" s="75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</row>
    <row r="74" spans="1:22" x14ac:dyDescent="0.25">
      <c r="A74" s="76"/>
      <c r="B74" s="75"/>
      <c r="C74" s="77"/>
      <c r="D74" s="77"/>
      <c r="E74" s="75"/>
      <c r="F74" s="75"/>
      <c r="G74" s="77"/>
      <c r="H74" s="75"/>
      <c r="I74" s="75"/>
      <c r="J74" s="75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</row>
    <row r="75" spans="1:22" x14ac:dyDescent="0.25">
      <c r="A75" s="76"/>
      <c r="B75" s="75"/>
      <c r="C75" s="77"/>
      <c r="D75" s="77"/>
      <c r="E75" s="75"/>
      <c r="F75" s="75"/>
      <c r="G75" s="77"/>
      <c r="H75" s="75"/>
      <c r="I75" s="75"/>
      <c r="J75" s="75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</row>
    <row r="76" spans="1:22" x14ac:dyDescent="0.25">
      <c r="A76" s="76"/>
      <c r="B76" s="75"/>
      <c r="C76" s="77"/>
      <c r="D76" s="77"/>
      <c r="E76" s="75"/>
      <c r="F76" s="75"/>
      <c r="G76" s="77"/>
      <c r="H76" s="75"/>
      <c r="I76" s="75"/>
      <c r="J76" s="75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</row>
    <row r="77" spans="1:22" x14ac:dyDescent="0.25">
      <c r="A77" s="76"/>
      <c r="B77" s="75"/>
      <c r="C77" s="77"/>
      <c r="D77" s="77"/>
      <c r="E77" s="75"/>
      <c r="F77" s="75"/>
      <c r="G77" s="77"/>
      <c r="H77" s="75"/>
      <c r="I77" s="75"/>
      <c r="J77" s="75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</row>
    <row r="78" spans="1:22" x14ac:dyDescent="0.25">
      <c r="A78" s="76"/>
      <c r="B78" s="75"/>
      <c r="C78" s="77"/>
      <c r="D78" s="77"/>
      <c r="E78" s="75"/>
      <c r="F78" s="75"/>
      <c r="G78" s="77"/>
      <c r="H78" s="75"/>
      <c r="I78" s="75"/>
      <c r="J78" s="75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</row>
    <row r="79" spans="1:22" x14ac:dyDescent="0.25">
      <c r="A79" s="76"/>
      <c r="B79" s="75"/>
      <c r="C79" s="77"/>
      <c r="D79" s="77"/>
      <c r="E79" s="75"/>
      <c r="F79" s="75"/>
      <c r="G79" s="77"/>
      <c r="H79" s="75"/>
      <c r="I79" s="75"/>
      <c r="J79" s="75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</row>
    <row r="80" spans="1:22" x14ac:dyDescent="0.25">
      <c r="A80" s="76"/>
      <c r="B80" s="75"/>
      <c r="C80" s="77"/>
      <c r="D80" s="77"/>
      <c r="E80" s="75"/>
      <c r="F80" s="75"/>
      <c r="G80" s="77"/>
      <c r="H80" s="75"/>
      <c r="I80" s="75"/>
      <c r="J80" s="75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</row>
    <row r="81" spans="1:22" x14ac:dyDescent="0.25">
      <c r="A81" s="76"/>
      <c r="B81" s="75"/>
      <c r="C81" s="77"/>
      <c r="D81" s="77"/>
      <c r="E81" s="75"/>
      <c r="F81" s="75"/>
      <c r="G81" s="77"/>
      <c r="H81" s="75"/>
      <c r="I81" s="75"/>
      <c r="J81" s="75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</row>
    <row r="82" spans="1:22" x14ac:dyDescent="0.25">
      <c r="A82" s="76"/>
      <c r="B82" s="75"/>
      <c r="C82" s="77"/>
      <c r="D82" s="77"/>
      <c r="E82" s="75"/>
      <c r="F82" s="75"/>
      <c r="G82" s="77"/>
      <c r="H82" s="75"/>
      <c r="I82" s="75"/>
      <c r="J82" s="75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</row>
    <row r="83" spans="1:22" x14ac:dyDescent="0.25">
      <c r="A83" s="76"/>
      <c r="B83" s="75"/>
      <c r="C83" s="77"/>
      <c r="D83" s="77"/>
      <c r="E83" s="75"/>
      <c r="F83" s="75"/>
      <c r="G83" s="77"/>
      <c r="H83" s="75"/>
      <c r="I83" s="75"/>
      <c r="J83" s="75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</row>
    <row r="84" spans="1:22" x14ac:dyDescent="0.25">
      <c r="A84" s="76"/>
      <c r="B84" s="75"/>
      <c r="C84" s="77"/>
      <c r="D84" s="77"/>
      <c r="E84" s="75"/>
      <c r="F84" s="75"/>
      <c r="G84" s="77"/>
      <c r="H84" s="75"/>
      <c r="I84" s="75"/>
      <c r="J84" s="75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</row>
    <row r="85" spans="1:22" x14ac:dyDescent="0.25">
      <c r="A85" s="76"/>
      <c r="B85" s="75"/>
      <c r="C85" s="77"/>
      <c r="D85" s="77"/>
      <c r="E85" s="75"/>
      <c r="F85" s="75"/>
      <c r="G85" s="77"/>
      <c r="H85" s="75"/>
      <c r="I85" s="75"/>
      <c r="J85" s="75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</row>
    <row r="86" spans="1:22" x14ac:dyDescent="0.25">
      <c r="A86" s="76"/>
      <c r="B86" s="75"/>
      <c r="C86" s="77"/>
      <c r="D86" s="77"/>
      <c r="E86" s="75"/>
      <c r="F86" s="75"/>
      <c r="G86" s="77"/>
      <c r="H86" s="75"/>
      <c r="I86" s="75"/>
      <c r="J86" s="75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</row>
    <row r="87" spans="1:22" x14ac:dyDescent="0.25">
      <c r="A87" s="76"/>
      <c r="B87" s="75"/>
      <c r="C87" s="77"/>
      <c r="D87" s="77"/>
      <c r="E87" s="75"/>
      <c r="F87" s="75"/>
      <c r="G87" s="77"/>
      <c r="H87" s="75"/>
      <c r="I87" s="75"/>
      <c r="J87" s="75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</row>
    <row r="88" spans="1:22" x14ac:dyDescent="0.25">
      <c r="A88" s="76"/>
      <c r="B88" s="75"/>
      <c r="C88" s="77"/>
      <c r="D88" s="77"/>
      <c r="E88" s="75"/>
      <c r="F88" s="75"/>
      <c r="G88" s="77"/>
      <c r="H88" s="75"/>
      <c r="I88" s="75"/>
      <c r="J88" s="75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</row>
    <row r="89" spans="1:22" x14ac:dyDescent="0.25">
      <c r="A89" s="76"/>
      <c r="B89" s="75"/>
      <c r="C89" s="77"/>
      <c r="D89" s="77"/>
      <c r="E89" s="75"/>
      <c r="F89" s="75"/>
      <c r="G89" s="77"/>
      <c r="H89" s="75"/>
      <c r="I89" s="75"/>
      <c r="J89" s="75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</row>
    <row r="90" spans="1:22" x14ac:dyDescent="0.25">
      <c r="A90" s="76"/>
      <c r="B90" s="75"/>
      <c r="C90" s="77"/>
      <c r="D90" s="77"/>
      <c r="E90" s="75"/>
      <c r="F90" s="75"/>
      <c r="G90" s="77"/>
      <c r="H90" s="75"/>
      <c r="I90" s="75"/>
      <c r="J90" s="75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</row>
    <row r="91" spans="1:22" x14ac:dyDescent="0.25">
      <c r="A91" s="76"/>
      <c r="B91" s="75"/>
      <c r="C91" s="77"/>
      <c r="D91" s="77"/>
      <c r="E91" s="75"/>
      <c r="F91" s="75"/>
      <c r="G91" s="77"/>
      <c r="H91" s="75"/>
      <c r="I91" s="75"/>
      <c r="J91" s="75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</row>
    <row r="92" spans="1:22" x14ac:dyDescent="0.25">
      <c r="A92" s="76"/>
      <c r="B92" s="75"/>
      <c r="C92" s="77"/>
      <c r="D92" s="77"/>
      <c r="E92" s="75"/>
      <c r="F92" s="75"/>
      <c r="G92" s="77"/>
      <c r="H92" s="75"/>
      <c r="I92" s="75"/>
      <c r="J92" s="75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</row>
    <row r="93" spans="1:22" x14ac:dyDescent="0.25">
      <c r="A93" s="76"/>
      <c r="B93" s="75"/>
      <c r="C93" s="77"/>
      <c r="D93" s="77"/>
      <c r="E93" s="75"/>
      <c r="F93" s="75"/>
      <c r="G93" s="77"/>
      <c r="H93" s="75"/>
      <c r="I93" s="75"/>
      <c r="J93" s="75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</row>
    <row r="94" spans="1:22" x14ac:dyDescent="0.25">
      <c r="A94" s="76"/>
      <c r="B94" s="75"/>
      <c r="C94" s="77"/>
      <c r="D94" s="77"/>
      <c r="E94" s="75"/>
      <c r="F94" s="75"/>
      <c r="G94" s="77"/>
      <c r="H94" s="75"/>
      <c r="I94" s="75"/>
      <c r="J94" s="75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</row>
    <row r="95" spans="1:22" x14ac:dyDescent="0.25">
      <c r="A95" s="76"/>
      <c r="B95" s="75"/>
      <c r="C95" s="77"/>
      <c r="D95" s="77"/>
      <c r="E95" s="75"/>
      <c r="F95" s="75"/>
      <c r="G95" s="77"/>
      <c r="H95" s="75"/>
      <c r="I95" s="75"/>
      <c r="J95" s="75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</row>
    <row r="96" spans="1:22" x14ac:dyDescent="0.25">
      <c r="A96" s="76"/>
      <c r="B96" s="75"/>
      <c r="C96" s="77"/>
      <c r="D96" s="77"/>
      <c r="E96" s="75"/>
      <c r="F96" s="75"/>
      <c r="G96" s="77"/>
      <c r="H96" s="75"/>
      <c r="I96" s="75"/>
      <c r="J96" s="75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</row>
    <row r="97" spans="1:22" x14ac:dyDescent="0.25">
      <c r="A97" s="76"/>
      <c r="B97" s="75"/>
      <c r="C97" s="77"/>
      <c r="D97" s="77"/>
      <c r="E97" s="75"/>
      <c r="F97" s="75"/>
      <c r="G97" s="77"/>
      <c r="H97" s="75"/>
      <c r="I97" s="75"/>
      <c r="J97" s="75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</row>
    <row r="98" spans="1:22" x14ac:dyDescent="0.25">
      <c r="A98" s="76"/>
      <c r="B98" s="75"/>
      <c r="C98" s="77"/>
      <c r="D98" s="77"/>
      <c r="E98" s="75"/>
      <c r="F98" s="75"/>
      <c r="G98" s="77"/>
      <c r="H98" s="75"/>
      <c r="I98" s="75"/>
      <c r="J98" s="75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</row>
    <row r="99" spans="1:22" x14ac:dyDescent="0.25">
      <c r="A99" s="76"/>
      <c r="B99" s="75"/>
      <c r="C99" s="77"/>
      <c r="D99" s="77"/>
      <c r="E99" s="75"/>
      <c r="F99" s="75"/>
      <c r="G99" s="77"/>
      <c r="H99" s="75"/>
      <c r="I99" s="75"/>
      <c r="J99" s="75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</row>
    <row r="100" spans="1:22" x14ac:dyDescent="0.25">
      <c r="A100" s="76"/>
      <c r="B100" s="75"/>
      <c r="C100" s="77"/>
      <c r="D100" s="77"/>
      <c r="E100" s="75"/>
      <c r="F100" s="75"/>
      <c r="G100" s="77"/>
      <c r="H100" s="75"/>
      <c r="I100" s="75"/>
      <c r="J100" s="75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</row>
    <row r="101" spans="1:22" x14ac:dyDescent="0.25">
      <c r="A101" s="76"/>
      <c r="B101" s="75"/>
      <c r="C101" s="77"/>
      <c r="D101" s="77"/>
      <c r="E101" s="75"/>
      <c r="F101" s="75"/>
      <c r="G101" s="77"/>
      <c r="H101" s="75"/>
      <c r="I101" s="75"/>
      <c r="J101" s="75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</row>
    <row r="102" spans="1:22" x14ac:dyDescent="0.25">
      <c r="A102" s="76"/>
      <c r="B102" s="75"/>
      <c r="C102" s="77"/>
      <c r="D102" s="77"/>
      <c r="E102" s="75"/>
      <c r="F102" s="75"/>
      <c r="G102" s="77"/>
      <c r="H102" s="75"/>
      <c r="I102" s="75"/>
      <c r="J102" s="75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</row>
    <row r="103" spans="1:22" x14ac:dyDescent="0.25">
      <c r="A103" s="76"/>
      <c r="B103" s="75"/>
      <c r="C103" s="77"/>
      <c r="D103" s="77"/>
      <c r="E103" s="75"/>
      <c r="F103" s="75"/>
      <c r="G103" s="77"/>
      <c r="H103" s="75"/>
      <c r="I103" s="75"/>
      <c r="J103" s="75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</row>
    <row r="104" spans="1:22" x14ac:dyDescent="0.25">
      <c r="A104" s="76"/>
      <c r="B104" s="75"/>
      <c r="C104" s="77"/>
      <c r="D104" s="77"/>
      <c r="E104" s="75"/>
      <c r="F104" s="75"/>
      <c r="G104" s="77"/>
      <c r="H104" s="75"/>
      <c r="I104" s="75"/>
      <c r="J104" s="75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</row>
    <row r="105" spans="1:22" x14ac:dyDescent="0.25">
      <c r="A105" s="76"/>
      <c r="B105" s="75"/>
      <c r="C105" s="77"/>
      <c r="D105" s="77"/>
      <c r="E105" s="75"/>
      <c r="F105" s="75"/>
      <c r="G105" s="77"/>
      <c r="H105" s="75"/>
      <c r="I105" s="75"/>
      <c r="J105" s="75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</row>
    <row r="106" spans="1:22" x14ac:dyDescent="0.25">
      <c r="A106" s="76"/>
      <c r="B106" s="75"/>
      <c r="C106" s="77"/>
      <c r="D106" s="77"/>
      <c r="E106" s="75"/>
      <c r="F106" s="75"/>
      <c r="G106" s="77"/>
      <c r="H106" s="75"/>
      <c r="I106" s="75"/>
      <c r="J106" s="75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</row>
    <row r="107" spans="1:22" x14ac:dyDescent="0.25">
      <c r="A107" s="76"/>
      <c r="B107" s="75"/>
      <c r="C107" s="77"/>
      <c r="D107" s="77"/>
      <c r="E107" s="75"/>
      <c r="F107" s="75"/>
      <c r="G107" s="77"/>
      <c r="H107" s="75"/>
      <c r="I107" s="75"/>
      <c r="J107" s="75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</row>
    <row r="108" spans="1:22" x14ac:dyDescent="0.25">
      <c r="A108" s="76"/>
      <c r="B108" s="75"/>
      <c r="C108" s="77"/>
      <c r="D108" s="77"/>
      <c r="E108" s="75"/>
      <c r="F108" s="75"/>
      <c r="G108" s="77"/>
      <c r="H108" s="75"/>
      <c r="I108" s="75"/>
      <c r="J108" s="75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</row>
    <row r="109" spans="1:22" x14ac:dyDescent="0.25">
      <c r="A109" s="76"/>
      <c r="B109" s="75"/>
      <c r="C109" s="77"/>
      <c r="D109" s="77"/>
      <c r="E109" s="75"/>
      <c r="F109" s="75"/>
      <c r="G109" s="77"/>
      <c r="H109" s="75"/>
      <c r="I109" s="75"/>
      <c r="J109" s="75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</row>
    <row r="110" spans="1:22" x14ac:dyDescent="0.25">
      <c r="A110" s="76"/>
      <c r="B110" s="75"/>
      <c r="C110" s="77"/>
      <c r="D110" s="77"/>
      <c r="E110" s="75"/>
      <c r="F110" s="75"/>
      <c r="G110" s="77"/>
      <c r="H110" s="75"/>
      <c r="I110" s="75"/>
      <c r="J110" s="75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</row>
    <row r="111" spans="1:22" x14ac:dyDescent="0.25">
      <c r="A111" s="76"/>
      <c r="B111" s="75"/>
      <c r="C111" s="77"/>
      <c r="D111" s="77"/>
      <c r="E111" s="75"/>
      <c r="F111" s="75"/>
      <c r="G111" s="77"/>
      <c r="H111" s="75"/>
      <c r="I111" s="75"/>
      <c r="J111" s="75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</row>
    <row r="112" spans="1:22" x14ac:dyDescent="0.25">
      <c r="A112" s="76"/>
      <c r="B112" s="75"/>
      <c r="C112" s="77"/>
      <c r="D112" s="77"/>
      <c r="E112" s="75"/>
      <c r="F112" s="75"/>
      <c r="G112" s="77"/>
      <c r="H112" s="75"/>
      <c r="I112" s="75"/>
      <c r="J112" s="75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</row>
    <row r="113" spans="1:22" x14ac:dyDescent="0.25">
      <c r="A113" s="76"/>
      <c r="B113" s="75"/>
      <c r="C113" s="77"/>
      <c r="D113" s="77"/>
      <c r="E113" s="75"/>
      <c r="F113" s="75"/>
      <c r="G113" s="77"/>
      <c r="H113" s="75"/>
      <c r="I113" s="75"/>
      <c r="J113" s="75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</row>
    <row r="114" spans="1:22" x14ac:dyDescent="0.25">
      <c r="A114" s="76"/>
      <c r="B114" s="75"/>
      <c r="C114" s="77"/>
      <c r="D114" s="77"/>
      <c r="E114" s="75"/>
      <c r="F114" s="75"/>
      <c r="G114" s="77"/>
      <c r="H114" s="75"/>
      <c r="I114" s="75"/>
      <c r="J114" s="75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</row>
    <row r="115" spans="1:22" x14ac:dyDescent="0.25">
      <c r="A115" s="79"/>
      <c r="B115" s="75"/>
      <c r="C115" s="77"/>
      <c r="D115" s="77"/>
      <c r="E115" s="75"/>
      <c r="F115" s="75"/>
      <c r="G115" s="77"/>
      <c r="H115" s="75"/>
      <c r="I115" s="75"/>
      <c r="J115" s="75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</row>
    <row r="116" spans="1:22" x14ac:dyDescent="0.25">
      <c r="A116" s="79"/>
      <c r="B116" s="75"/>
      <c r="C116" s="77"/>
      <c r="D116" s="77"/>
      <c r="E116" s="75"/>
      <c r="F116" s="75"/>
      <c r="G116" s="77"/>
      <c r="H116" s="75"/>
      <c r="I116" s="75"/>
      <c r="J116" s="75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</row>
    <row r="117" spans="1:22" x14ac:dyDescent="0.25">
      <c r="A117" s="79"/>
      <c r="B117" s="75"/>
      <c r="C117" s="77"/>
      <c r="D117" s="77"/>
      <c r="E117" s="75"/>
      <c r="F117" s="75"/>
      <c r="G117" s="77"/>
      <c r="H117" s="75"/>
      <c r="I117" s="75"/>
      <c r="J117" s="75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</row>
    <row r="118" spans="1:22" x14ac:dyDescent="0.25">
      <c r="A118" s="79"/>
      <c r="B118" s="75"/>
      <c r="C118" s="77"/>
      <c r="D118" s="77"/>
      <c r="E118" s="75"/>
      <c r="F118" s="75"/>
      <c r="G118" s="77"/>
      <c r="H118" s="75"/>
      <c r="I118" s="75"/>
      <c r="J118" s="75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</row>
    <row r="119" spans="1:22" x14ac:dyDescent="0.25">
      <c r="A119" s="79"/>
      <c r="B119" s="75"/>
      <c r="C119" s="77"/>
      <c r="D119" s="77"/>
      <c r="E119" s="75"/>
      <c r="F119" s="75"/>
      <c r="G119" s="77"/>
      <c r="H119" s="75"/>
      <c r="I119" s="75"/>
      <c r="J119" s="75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</row>
    <row r="120" spans="1:22" x14ac:dyDescent="0.25">
      <c r="A120" s="79"/>
      <c r="B120" s="75"/>
      <c r="C120" s="77"/>
      <c r="D120" s="77"/>
      <c r="E120" s="75"/>
      <c r="F120" s="75"/>
      <c r="G120" s="77"/>
      <c r="H120" s="75"/>
      <c r="I120" s="75"/>
      <c r="J120" s="75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</row>
    <row r="121" spans="1:22" x14ac:dyDescent="0.25">
      <c r="A121" s="79"/>
      <c r="B121" s="75"/>
      <c r="C121" s="77"/>
      <c r="D121" s="77"/>
      <c r="E121" s="75"/>
      <c r="F121" s="75"/>
      <c r="G121" s="77"/>
      <c r="H121" s="75"/>
      <c r="I121" s="75"/>
      <c r="J121" s="75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</row>
    <row r="122" spans="1:22" x14ac:dyDescent="0.25">
      <c r="A122" s="79"/>
      <c r="B122" s="75"/>
      <c r="C122" s="77"/>
      <c r="D122" s="77"/>
      <c r="E122" s="75"/>
      <c r="F122" s="75"/>
      <c r="G122" s="77"/>
      <c r="H122" s="75"/>
      <c r="I122" s="75"/>
      <c r="J122" s="75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</row>
    <row r="123" spans="1:22" x14ac:dyDescent="0.25">
      <c r="A123" s="79"/>
      <c r="B123" s="75"/>
      <c r="C123" s="77"/>
      <c r="D123" s="77"/>
      <c r="E123" s="75"/>
      <c r="F123" s="75"/>
      <c r="G123" s="77"/>
      <c r="H123" s="75"/>
      <c r="I123" s="75"/>
      <c r="J123" s="75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</row>
    <row r="124" spans="1:22" x14ac:dyDescent="0.25">
      <c r="A124" s="79"/>
      <c r="B124" s="75"/>
      <c r="C124" s="77"/>
      <c r="D124" s="77"/>
      <c r="E124" s="75"/>
      <c r="F124" s="75"/>
      <c r="G124" s="77"/>
      <c r="H124" s="75"/>
      <c r="I124" s="75"/>
      <c r="J124" s="75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</row>
    <row r="125" spans="1:22" x14ac:dyDescent="0.25">
      <c r="A125" s="79"/>
      <c r="B125" s="75"/>
      <c r="C125" s="77"/>
      <c r="D125" s="77"/>
      <c r="E125" s="75"/>
      <c r="F125" s="75"/>
      <c r="G125" s="77"/>
      <c r="H125" s="75"/>
      <c r="I125" s="75"/>
      <c r="J125" s="75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</row>
    <row r="126" spans="1:22" x14ac:dyDescent="0.25">
      <c r="A126" s="79"/>
      <c r="B126" s="75"/>
      <c r="C126" s="77"/>
      <c r="D126" s="77"/>
      <c r="E126" s="75"/>
      <c r="F126" s="75"/>
      <c r="G126" s="77"/>
      <c r="H126" s="75"/>
      <c r="I126" s="75"/>
      <c r="J126" s="75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</row>
    <row r="127" spans="1:22" x14ac:dyDescent="0.25">
      <c r="A127" s="79"/>
      <c r="B127" s="75"/>
      <c r="C127" s="77"/>
      <c r="D127" s="77"/>
      <c r="E127" s="75"/>
      <c r="F127" s="75"/>
      <c r="G127" s="77"/>
      <c r="H127" s="75"/>
      <c r="I127" s="75"/>
      <c r="J127" s="75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</row>
    <row r="128" spans="1:22" x14ac:dyDescent="0.25">
      <c r="A128" s="79"/>
      <c r="B128" s="75"/>
      <c r="C128" s="77"/>
      <c r="D128" s="77"/>
      <c r="E128" s="75"/>
      <c r="F128" s="75"/>
      <c r="G128" s="77"/>
      <c r="H128" s="75"/>
      <c r="I128" s="75"/>
      <c r="J128" s="75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</row>
    <row r="129" spans="1:22" x14ac:dyDescent="0.25">
      <c r="A129" s="79"/>
      <c r="B129" s="75"/>
      <c r="C129" s="77"/>
      <c r="D129" s="77"/>
      <c r="E129" s="75"/>
      <c r="F129" s="75"/>
      <c r="G129" s="77"/>
      <c r="H129" s="75"/>
      <c r="I129" s="75"/>
      <c r="J129" s="75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</row>
    <row r="130" spans="1:22" x14ac:dyDescent="0.25">
      <c r="A130" s="79"/>
      <c r="B130" s="75"/>
      <c r="C130" s="77"/>
      <c r="D130" s="77"/>
      <c r="E130" s="75"/>
      <c r="F130" s="75"/>
      <c r="G130" s="77"/>
      <c r="H130" s="75"/>
      <c r="I130" s="75"/>
      <c r="J130" s="75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</row>
    <row r="131" spans="1:22" x14ac:dyDescent="0.25">
      <c r="A131" s="79"/>
      <c r="B131" s="75"/>
      <c r="C131" s="77"/>
      <c r="D131" s="77"/>
      <c r="E131" s="75"/>
      <c r="F131" s="75"/>
      <c r="G131" s="77"/>
      <c r="H131" s="75"/>
      <c r="I131" s="75"/>
      <c r="J131" s="75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</row>
    <row r="132" spans="1:22" x14ac:dyDescent="0.25">
      <c r="A132" s="79"/>
      <c r="B132" s="75"/>
      <c r="C132" s="77"/>
      <c r="D132" s="77"/>
      <c r="E132" s="75"/>
      <c r="F132" s="75"/>
      <c r="G132" s="77"/>
      <c r="H132" s="75"/>
      <c r="I132" s="75"/>
      <c r="J132" s="75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</row>
    <row r="133" spans="1:22" x14ac:dyDescent="0.25">
      <c r="A133" s="79"/>
      <c r="B133" s="75"/>
      <c r="C133" s="77"/>
      <c r="D133" s="77"/>
      <c r="E133" s="75"/>
      <c r="F133" s="75"/>
      <c r="G133" s="77"/>
      <c r="H133" s="75"/>
      <c r="I133" s="75"/>
      <c r="J133" s="75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</row>
    <row r="134" spans="1:22" x14ac:dyDescent="0.25">
      <c r="A134" s="79"/>
      <c r="B134" s="75"/>
      <c r="C134" s="77"/>
      <c r="D134" s="77"/>
      <c r="E134" s="75"/>
      <c r="F134" s="75"/>
      <c r="G134" s="77"/>
      <c r="H134" s="75"/>
      <c r="I134" s="75"/>
      <c r="J134" s="75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</row>
    <row r="135" spans="1:22" x14ac:dyDescent="0.25">
      <c r="A135" s="79"/>
      <c r="B135" s="75"/>
      <c r="C135" s="77"/>
      <c r="D135" s="77"/>
      <c r="E135" s="75"/>
      <c r="F135" s="75"/>
      <c r="G135" s="77"/>
      <c r="H135" s="75"/>
      <c r="I135" s="75"/>
      <c r="J135" s="75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</row>
    <row r="136" spans="1:22" x14ac:dyDescent="0.25">
      <c r="A136" s="79"/>
      <c r="B136" s="75"/>
      <c r="C136" s="77"/>
      <c r="D136" s="77"/>
      <c r="E136" s="75"/>
      <c r="F136" s="75"/>
      <c r="G136" s="77"/>
      <c r="H136" s="75"/>
      <c r="I136" s="75"/>
      <c r="J136" s="75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</row>
    <row r="137" spans="1:22" x14ac:dyDescent="0.25">
      <c r="A137" s="79"/>
      <c r="B137" s="75"/>
      <c r="C137" s="77"/>
      <c r="D137" s="77"/>
      <c r="E137" s="75"/>
      <c r="F137" s="75"/>
      <c r="G137" s="77"/>
      <c r="H137" s="75"/>
      <c r="I137" s="75"/>
      <c r="J137" s="75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</row>
    <row r="138" spans="1:22" x14ac:dyDescent="0.25">
      <c r="A138" s="79"/>
      <c r="B138" s="75"/>
      <c r="C138" s="77"/>
      <c r="D138" s="77"/>
      <c r="E138" s="75"/>
      <c r="F138" s="75"/>
      <c r="G138" s="77"/>
      <c r="H138" s="75"/>
      <c r="I138" s="75"/>
      <c r="J138" s="75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</row>
    <row r="139" spans="1:22" x14ac:dyDescent="0.25">
      <c r="A139" s="79"/>
      <c r="B139" s="75"/>
      <c r="C139" s="77"/>
      <c r="D139" s="77"/>
      <c r="E139" s="75"/>
      <c r="F139" s="75"/>
      <c r="G139" s="77"/>
      <c r="H139" s="75"/>
      <c r="I139" s="75"/>
      <c r="J139" s="75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</row>
    <row r="140" spans="1:22" x14ac:dyDescent="0.25">
      <c r="A140" s="79"/>
      <c r="B140" s="75"/>
      <c r="C140" s="77"/>
      <c r="D140" s="77"/>
      <c r="E140" s="75"/>
      <c r="F140" s="75"/>
      <c r="G140" s="77"/>
      <c r="H140" s="75"/>
      <c r="I140" s="75"/>
      <c r="J140" s="75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</row>
    <row r="141" spans="1:22" x14ac:dyDescent="0.25">
      <c r="A141" s="79"/>
      <c r="B141" s="75"/>
      <c r="C141" s="77"/>
      <c r="D141" s="77"/>
      <c r="E141" s="75"/>
      <c r="F141" s="75"/>
      <c r="G141" s="77"/>
      <c r="H141" s="75"/>
      <c r="I141" s="75"/>
      <c r="J141" s="75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</row>
    <row r="142" spans="1:22" x14ac:dyDescent="0.25">
      <c r="A142" s="79"/>
      <c r="B142" s="75"/>
      <c r="C142" s="77"/>
      <c r="D142" s="77"/>
      <c r="E142" s="75"/>
      <c r="F142" s="75"/>
      <c r="G142" s="77"/>
      <c r="H142" s="75"/>
      <c r="I142" s="75"/>
      <c r="J142" s="75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</row>
    <row r="143" spans="1:22" x14ac:dyDescent="0.25">
      <c r="A143" s="79"/>
      <c r="B143" s="75"/>
      <c r="C143" s="77"/>
      <c r="D143" s="77"/>
      <c r="E143" s="75"/>
      <c r="F143" s="75"/>
      <c r="G143" s="77"/>
      <c r="H143" s="75"/>
      <c r="I143" s="75"/>
      <c r="J143" s="75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</row>
    <row r="144" spans="1:22" x14ac:dyDescent="0.25">
      <c r="A144" s="79"/>
      <c r="B144" s="75"/>
      <c r="C144" s="77"/>
      <c r="D144" s="77"/>
      <c r="E144" s="75"/>
      <c r="F144" s="75"/>
      <c r="G144" s="77"/>
      <c r="H144" s="75"/>
      <c r="I144" s="75"/>
      <c r="J144" s="75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</row>
    <row r="145" spans="1:22" x14ac:dyDescent="0.25">
      <c r="A145" s="79"/>
      <c r="B145" s="75"/>
      <c r="C145" s="77"/>
      <c r="D145" s="77"/>
      <c r="E145" s="75"/>
      <c r="F145" s="75"/>
      <c r="G145" s="77"/>
      <c r="H145" s="75"/>
      <c r="I145" s="75"/>
      <c r="J145" s="75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</row>
    <row r="146" spans="1:22" x14ac:dyDescent="0.25">
      <c r="A146" s="79"/>
      <c r="B146" s="75"/>
      <c r="C146" s="77"/>
      <c r="D146" s="77"/>
      <c r="E146" s="75"/>
      <c r="F146" s="75"/>
      <c r="G146" s="77"/>
      <c r="H146" s="75"/>
      <c r="I146" s="75"/>
      <c r="J146" s="75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</row>
    <row r="147" spans="1:22" x14ac:dyDescent="0.25">
      <c r="A147" s="79"/>
      <c r="B147" s="75"/>
      <c r="C147" s="77"/>
      <c r="D147" s="77"/>
      <c r="E147" s="75"/>
      <c r="F147" s="75"/>
      <c r="G147" s="77"/>
      <c r="H147" s="75"/>
      <c r="I147" s="75"/>
      <c r="J147" s="75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</row>
    <row r="148" spans="1:22" x14ac:dyDescent="0.25">
      <c r="A148" s="79"/>
      <c r="B148" s="75"/>
      <c r="C148" s="77"/>
      <c r="D148" s="77"/>
      <c r="E148" s="75"/>
      <c r="F148" s="75"/>
      <c r="G148" s="77"/>
      <c r="H148" s="75"/>
      <c r="I148" s="75"/>
      <c r="J148" s="75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</row>
    <row r="149" spans="1:22" x14ac:dyDescent="0.25">
      <c r="A149" s="79"/>
      <c r="B149" s="75"/>
      <c r="C149" s="77"/>
      <c r="D149" s="77"/>
      <c r="E149" s="75"/>
      <c r="F149" s="75"/>
      <c r="G149" s="77"/>
      <c r="H149" s="75"/>
      <c r="I149" s="75"/>
      <c r="J149" s="75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</row>
    <row r="150" spans="1:22" x14ac:dyDescent="0.25">
      <c r="A150" s="79"/>
      <c r="B150" s="75"/>
      <c r="C150" s="77"/>
      <c r="D150" s="77"/>
      <c r="E150" s="75"/>
      <c r="F150" s="75"/>
      <c r="G150" s="77"/>
      <c r="H150" s="75"/>
      <c r="I150" s="75"/>
      <c r="J150" s="75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</row>
    <row r="151" spans="1:22" x14ac:dyDescent="0.25">
      <c r="A151" s="79"/>
      <c r="B151" s="75"/>
      <c r="C151" s="77"/>
      <c r="D151" s="77"/>
      <c r="E151" s="75"/>
      <c r="F151" s="75"/>
      <c r="G151" s="77"/>
      <c r="H151" s="75"/>
      <c r="I151" s="75"/>
      <c r="J151" s="75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</row>
    <row r="152" spans="1:22" x14ac:dyDescent="0.25">
      <c r="A152" s="79"/>
      <c r="B152" s="75"/>
      <c r="C152" s="77"/>
      <c r="D152" s="77"/>
      <c r="E152" s="75"/>
      <c r="F152" s="75"/>
      <c r="G152" s="77"/>
      <c r="H152" s="75"/>
      <c r="I152" s="75"/>
      <c r="J152" s="75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</row>
    <row r="153" spans="1:22" x14ac:dyDescent="0.25">
      <c r="A153" s="79"/>
      <c r="B153" s="75"/>
      <c r="C153" s="77"/>
      <c r="D153" s="77"/>
      <c r="E153" s="75"/>
      <c r="F153" s="75"/>
      <c r="G153" s="77"/>
      <c r="H153" s="75"/>
      <c r="I153" s="75"/>
      <c r="J153" s="75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</row>
    <row r="154" spans="1:22" x14ac:dyDescent="0.25">
      <c r="A154" s="79"/>
      <c r="B154" s="75"/>
      <c r="C154" s="77"/>
      <c r="D154" s="77"/>
      <c r="E154" s="75"/>
      <c r="F154" s="75"/>
      <c r="G154" s="77"/>
      <c r="H154" s="75"/>
      <c r="I154" s="75"/>
      <c r="J154" s="75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</row>
    <row r="155" spans="1:22" x14ac:dyDescent="0.25">
      <c r="A155" s="79"/>
      <c r="B155" s="75"/>
      <c r="C155" s="77"/>
      <c r="D155" s="77"/>
      <c r="E155" s="75"/>
      <c r="F155" s="75"/>
      <c r="G155" s="77"/>
      <c r="H155" s="75"/>
      <c r="I155" s="75"/>
      <c r="J155" s="75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</row>
    <row r="156" spans="1:22" x14ac:dyDescent="0.25">
      <c r="A156" s="79"/>
      <c r="B156" s="75"/>
      <c r="C156" s="77"/>
      <c r="D156" s="77"/>
      <c r="E156" s="75"/>
      <c r="F156" s="75"/>
      <c r="G156" s="77"/>
      <c r="H156" s="75"/>
      <c r="I156" s="75"/>
      <c r="J156" s="75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</row>
    <row r="157" spans="1:22" x14ac:dyDescent="0.25">
      <c r="A157" s="79"/>
      <c r="B157" s="75"/>
      <c r="C157" s="77"/>
      <c r="D157" s="77"/>
      <c r="E157" s="75"/>
      <c r="F157" s="75"/>
      <c r="G157" s="77"/>
      <c r="H157" s="75"/>
      <c r="I157" s="75"/>
      <c r="J157" s="75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</row>
    <row r="158" spans="1:22" x14ac:dyDescent="0.25">
      <c r="A158" s="79"/>
      <c r="B158" s="75"/>
      <c r="C158" s="77"/>
      <c r="D158" s="77"/>
      <c r="E158" s="75"/>
      <c r="F158" s="75"/>
      <c r="G158" s="77"/>
      <c r="H158" s="75"/>
      <c r="I158" s="75"/>
      <c r="J158" s="75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</row>
    <row r="159" spans="1:22" x14ac:dyDescent="0.25">
      <c r="A159" s="79"/>
      <c r="B159" s="75"/>
      <c r="C159" s="77"/>
      <c r="D159" s="77"/>
      <c r="E159" s="75"/>
      <c r="F159" s="75"/>
      <c r="G159" s="77"/>
      <c r="H159" s="75"/>
      <c r="I159" s="75"/>
      <c r="J159" s="75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</row>
    <row r="160" spans="1:22" x14ac:dyDescent="0.25">
      <c r="A160" s="79"/>
      <c r="B160" s="75"/>
      <c r="C160" s="77"/>
      <c r="D160" s="77"/>
      <c r="E160" s="75"/>
      <c r="F160" s="75"/>
      <c r="G160" s="77"/>
      <c r="H160" s="75"/>
      <c r="I160" s="75"/>
      <c r="J160" s="75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</row>
    <row r="161" spans="1:22" x14ac:dyDescent="0.25">
      <c r="A161" s="79"/>
      <c r="B161" s="75"/>
      <c r="C161" s="77"/>
      <c r="D161" s="77"/>
      <c r="E161" s="75"/>
      <c r="F161" s="75"/>
      <c r="G161" s="77"/>
      <c r="H161" s="75"/>
      <c r="I161" s="75"/>
      <c r="J161" s="75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</row>
    <row r="162" spans="1:22" x14ac:dyDescent="0.25">
      <c r="A162" s="79"/>
      <c r="B162" s="75"/>
      <c r="C162" s="77"/>
      <c r="D162" s="77"/>
      <c r="E162" s="75"/>
      <c r="F162" s="75"/>
      <c r="G162" s="77"/>
      <c r="H162" s="75"/>
      <c r="I162" s="75"/>
      <c r="J162" s="75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</row>
    <row r="163" spans="1:22" x14ac:dyDescent="0.25">
      <c r="A163" s="79"/>
      <c r="B163" s="75"/>
      <c r="C163" s="77"/>
      <c r="D163" s="77"/>
      <c r="E163" s="75"/>
      <c r="F163" s="75"/>
      <c r="G163" s="77"/>
      <c r="H163" s="75"/>
      <c r="I163" s="75"/>
      <c r="J163" s="75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</row>
    <row r="164" spans="1:22" x14ac:dyDescent="0.25">
      <c r="A164" s="79"/>
      <c r="B164" s="75"/>
      <c r="C164" s="77"/>
      <c r="D164" s="77"/>
      <c r="E164" s="75"/>
      <c r="F164" s="75"/>
      <c r="G164" s="77"/>
      <c r="H164" s="75"/>
      <c r="I164" s="75"/>
      <c r="J164" s="75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</row>
    <row r="165" spans="1:22" x14ac:dyDescent="0.25">
      <c r="A165" s="79"/>
      <c r="B165" s="75"/>
      <c r="C165" s="77"/>
      <c r="D165" s="77"/>
      <c r="E165" s="75"/>
      <c r="F165" s="75"/>
      <c r="G165" s="77"/>
      <c r="H165" s="75"/>
      <c r="I165" s="75"/>
      <c r="J165" s="75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</row>
    <row r="166" spans="1:22" x14ac:dyDescent="0.25">
      <c r="A166" s="79"/>
      <c r="B166" s="75"/>
      <c r="C166" s="77"/>
      <c r="D166" s="77"/>
      <c r="E166" s="75"/>
      <c r="F166" s="75"/>
      <c r="G166" s="77"/>
      <c r="H166" s="75"/>
      <c r="I166" s="75"/>
      <c r="J166" s="75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</row>
    <row r="167" spans="1:22" x14ac:dyDescent="0.25">
      <c r="A167" s="79"/>
      <c r="B167" s="75"/>
      <c r="C167" s="77"/>
      <c r="D167" s="77"/>
      <c r="E167" s="75"/>
      <c r="F167" s="75"/>
      <c r="G167" s="77"/>
      <c r="H167" s="75"/>
      <c r="I167" s="75"/>
      <c r="J167" s="75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</row>
    <row r="168" spans="1:22" x14ac:dyDescent="0.25">
      <c r="A168" s="79"/>
      <c r="B168" s="75"/>
      <c r="C168" s="77"/>
      <c r="D168" s="77"/>
      <c r="E168" s="75"/>
      <c r="F168" s="75"/>
      <c r="G168" s="77"/>
      <c r="H168" s="75"/>
      <c r="I168" s="75"/>
      <c r="J168" s="75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</row>
    <row r="169" spans="1:22" x14ac:dyDescent="0.25">
      <c r="A169" s="79"/>
      <c r="B169" s="75"/>
      <c r="C169" s="77"/>
      <c r="D169" s="77"/>
      <c r="E169" s="75"/>
      <c r="F169" s="75"/>
      <c r="G169" s="77"/>
      <c r="H169" s="75"/>
      <c r="I169" s="75"/>
      <c r="J169" s="75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</row>
    <row r="170" spans="1:22" x14ac:dyDescent="0.25">
      <c r="A170" s="79"/>
      <c r="B170" s="75"/>
      <c r="C170" s="77"/>
      <c r="D170" s="77"/>
      <c r="E170" s="75"/>
      <c r="F170" s="75"/>
      <c r="G170" s="77"/>
      <c r="H170" s="75"/>
      <c r="I170" s="75"/>
      <c r="J170" s="75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</row>
    <row r="171" spans="1:22" x14ac:dyDescent="0.25">
      <c r="A171" s="79"/>
      <c r="B171" s="75"/>
      <c r="C171" s="77"/>
      <c r="D171" s="77"/>
      <c r="E171" s="75"/>
      <c r="F171" s="75"/>
      <c r="G171" s="77"/>
      <c r="H171" s="75"/>
      <c r="I171" s="75"/>
      <c r="J171" s="75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</row>
    <row r="172" spans="1:22" x14ac:dyDescent="0.25">
      <c r="A172" s="79"/>
      <c r="B172" s="75"/>
      <c r="C172" s="77"/>
      <c r="D172" s="77"/>
      <c r="E172" s="75"/>
      <c r="F172" s="75"/>
      <c r="G172" s="77"/>
      <c r="H172" s="75"/>
      <c r="I172" s="75"/>
      <c r="J172" s="75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</row>
    <row r="173" spans="1:22" x14ac:dyDescent="0.25">
      <c r="A173" s="79"/>
      <c r="B173" s="75"/>
      <c r="C173" s="77"/>
      <c r="D173" s="77"/>
      <c r="E173" s="75"/>
      <c r="F173" s="75"/>
      <c r="G173" s="77"/>
      <c r="H173" s="75"/>
      <c r="I173" s="75"/>
      <c r="J173" s="75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</row>
    <row r="174" spans="1:22" x14ac:dyDescent="0.25">
      <c r="A174" s="79"/>
      <c r="B174" s="75"/>
      <c r="C174" s="77"/>
      <c r="D174" s="77"/>
      <c r="E174" s="75"/>
      <c r="F174" s="75"/>
      <c r="G174" s="77"/>
      <c r="H174" s="75"/>
      <c r="I174" s="75"/>
      <c r="J174" s="75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</row>
    <row r="175" spans="1:22" x14ac:dyDescent="0.25">
      <c r="A175" s="79"/>
      <c r="B175" s="75"/>
      <c r="C175" s="77"/>
      <c r="D175" s="77"/>
      <c r="E175" s="75"/>
      <c r="F175" s="75"/>
      <c r="G175" s="77"/>
      <c r="H175" s="75"/>
      <c r="I175" s="75"/>
      <c r="J175" s="75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</row>
    <row r="176" spans="1:22" x14ac:dyDescent="0.25">
      <c r="A176" s="79"/>
      <c r="B176" s="75"/>
      <c r="C176" s="77"/>
      <c r="D176" s="77"/>
      <c r="E176" s="75"/>
      <c r="F176" s="75"/>
      <c r="G176" s="77"/>
      <c r="H176" s="75"/>
      <c r="I176" s="75"/>
      <c r="J176" s="75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</row>
    <row r="177" spans="1:22" x14ac:dyDescent="0.25">
      <c r="A177" s="79"/>
      <c r="B177" s="75"/>
      <c r="C177" s="77"/>
      <c r="D177" s="77"/>
      <c r="E177" s="75"/>
      <c r="F177" s="75"/>
      <c r="G177" s="77"/>
      <c r="H177" s="75"/>
      <c r="I177" s="75"/>
      <c r="J177" s="75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</row>
    <row r="178" spans="1:22" x14ac:dyDescent="0.25">
      <c r="A178" s="79"/>
      <c r="B178" s="75"/>
      <c r="C178" s="77"/>
      <c r="D178" s="77"/>
      <c r="E178" s="75"/>
      <c r="F178" s="75"/>
      <c r="G178" s="77"/>
      <c r="H178" s="75"/>
      <c r="I178" s="75"/>
      <c r="J178" s="75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</row>
    <row r="179" spans="1:22" x14ac:dyDescent="0.25">
      <c r="A179" s="79"/>
      <c r="B179" s="75"/>
      <c r="C179" s="77"/>
      <c r="D179" s="77"/>
      <c r="E179" s="75"/>
      <c r="F179" s="75"/>
      <c r="G179" s="77"/>
      <c r="H179" s="75"/>
      <c r="I179" s="75"/>
      <c r="J179" s="75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</row>
    <row r="180" spans="1:22" x14ac:dyDescent="0.25">
      <c r="A180" s="79"/>
      <c r="B180" s="75"/>
      <c r="C180" s="77"/>
      <c r="D180" s="77"/>
      <c r="E180" s="75"/>
      <c r="F180" s="75"/>
      <c r="G180" s="77"/>
      <c r="H180" s="75"/>
      <c r="I180" s="75"/>
      <c r="J180" s="75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</row>
    <row r="181" spans="1:22" x14ac:dyDescent="0.25">
      <c r="A181" s="79"/>
      <c r="B181" s="75"/>
      <c r="C181" s="77"/>
      <c r="D181" s="77"/>
      <c r="E181" s="75"/>
      <c r="F181" s="75"/>
      <c r="G181" s="77"/>
      <c r="H181" s="75"/>
      <c r="I181" s="75"/>
      <c r="J181" s="75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</row>
    <row r="182" spans="1:22" x14ac:dyDescent="0.25">
      <c r="A182" s="79"/>
      <c r="B182" s="75"/>
      <c r="C182" s="77"/>
      <c r="D182" s="77"/>
      <c r="E182" s="75"/>
      <c r="F182" s="75"/>
      <c r="G182" s="77"/>
      <c r="H182" s="75"/>
      <c r="I182" s="75"/>
      <c r="J182" s="75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</row>
    <row r="183" spans="1:22" x14ac:dyDescent="0.25">
      <c r="A183" s="79"/>
      <c r="B183" s="75"/>
      <c r="C183" s="77"/>
      <c r="D183" s="77"/>
      <c r="E183" s="75"/>
      <c r="F183" s="75"/>
      <c r="G183" s="77"/>
      <c r="H183" s="75"/>
      <c r="I183" s="75"/>
      <c r="J183" s="75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</row>
    <row r="184" spans="1:22" x14ac:dyDescent="0.25">
      <c r="A184" s="79"/>
      <c r="B184" s="75"/>
      <c r="C184" s="77"/>
      <c r="D184" s="77"/>
      <c r="E184" s="75"/>
      <c r="F184" s="75"/>
      <c r="G184" s="77"/>
      <c r="H184" s="75"/>
      <c r="I184" s="75"/>
      <c r="J184" s="75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</row>
    <row r="185" spans="1:22" x14ac:dyDescent="0.25">
      <c r="A185" s="79"/>
      <c r="B185" s="75"/>
      <c r="C185" s="77"/>
      <c r="D185" s="77"/>
      <c r="E185" s="75"/>
      <c r="F185" s="75"/>
      <c r="G185" s="77"/>
      <c r="H185" s="75"/>
      <c r="I185" s="75"/>
      <c r="J185" s="75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</row>
    <row r="186" spans="1:22" x14ac:dyDescent="0.25">
      <c r="A186" s="79"/>
      <c r="B186" s="75"/>
      <c r="C186" s="77"/>
      <c r="D186" s="77"/>
      <c r="E186" s="75"/>
      <c r="F186" s="75"/>
      <c r="G186" s="77"/>
      <c r="H186" s="75"/>
      <c r="I186" s="75"/>
      <c r="J186" s="75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</row>
    <row r="187" spans="1:22" x14ac:dyDescent="0.25">
      <c r="A187" s="79"/>
      <c r="B187" s="75"/>
      <c r="C187" s="77"/>
      <c r="D187" s="77"/>
      <c r="E187" s="75"/>
      <c r="F187" s="75"/>
      <c r="G187" s="77"/>
      <c r="H187" s="75"/>
      <c r="I187" s="75"/>
      <c r="J187" s="75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</row>
    <row r="188" spans="1:22" x14ac:dyDescent="0.25">
      <c r="A188" s="79"/>
      <c r="B188" s="75"/>
      <c r="C188" s="77"/>
      <c r="D188" s="77"/>
      <c r="E188" s="75"/>
      <c r="F188" s="75"/>
      <c r="G188" s="77"/>
      <c r="H188" s="75"/>
      <c r="I188" s="75"/>
      <c r="J188" s="75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</row>
    <row r="189" spans="1:22" x14ac:dyDescent="0.25">
      <c r="A189" s="79"/>
      <c r="B189" s="75"/>
      <c r="C189" s="77"/>
      <c r="D189" s="77"/>
      <c r="E189" s="75"/>
      <c r="F189" s="75"/>
      <c r="G189" s="77"/>
      <c r="H189" s="75"/>
      <c r="I189" s="75"/>
      <c r="J189" s="75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</row>
    <row r="190" spans="1:22" x14ac:dyDescent="0.25">
      <c r="A190" s="79"/>
      <c r="B190" s="75"/>
      <c r="C190" s="77"/>
      <c r="D190" s="77"/>
      <c r="E190" s="75"/>
      <c r="F190" s="75"/>
      <c r="G190" s="77"/>
      <c r="H190" s="75"/>
      <c r="I190" s="75"/>
      <c r="J190" s="75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</row>
    <row r="191" spans="1:22" x14ac:dyDescent="0.25">
      <c r="A191" s="79"/>
      <c r="B191" s="75"/>
      <c r="C191" s="77"/>
      <c r="D191" s="77"/>
      <c r="E191" s="75"/>
      <c r="F191" s="75"/>
      <c r="G191" s="77"/>
      <c r="H191" s="75"/>
      <c r="I191" s="75"/>
      <c r="J191" s="75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</row>
    <row r="192" spans="1:22" x14ac:dyDescent="0.25">
      <c r="A192" s="79"/>
      <c r="B192" s="75"/>
      <c r="C192" s="77"/>
      <c r="D192" s="77"/>
      <c r="E192" s="75"/>
      <c r="F192" s="75"/>
      <c r="G192" s="77"/>
      <c r="H192" s="75"/>
      <c r="I192" s="75"/>
      <c r="J192" s="75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</row>
    <row r="193" spans="1:22" x14ac:dyDescent="0.25">
      <c r="A193" s="79"/>
      <c r="B193" s="75"/>
      <c r="C193" s="77"/>
      <c r="D193" s="77"/>
      <c r="E193" s="75"/>
      <c r="F193" s="75"/>
      <c r="G193" s="77"/>
      <c r="H193" s="75"/>
      <c r="I193" s="75"/>
      <c r="J193" s="75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</row>
    <row r="194" spans="1:22" x14ac:dyDescent="0.25">
      <c r="A194" s="79"/>
      <c r="B194" s="75"/>
      <c r="C194" s="77"/>
      <c r="D194" s="77"/>
      <c r="E194" s="75"/>
      <c r="F194" s="75"/>
      <c r="G194" s="77"/>
      <c r="H194" s="75"/>
      <c r="I194" s="75"/>
      <c r="J194" s="75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</row>
    <row r="195" spans="1:22" x14ac:dyDescent="0.25">
      <c r="A195" s="79"/>
      <c r="B195" s="75"/>
      <c r="C195" s="77"/>
      <c r="D195" s="77"/>
      <c r="E195" s="75"/>
      <c r="F195" s="75"/>
      <c r="G195" s="77"/>
      <c r="H195" s="75"/>
      <c r="I195" s="75"/>
      <c r="J195" s="75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</row>
    <row r="196" spans="1:22" x14ac:dyDescent="0.25">
      <c r="A196" s="79"/>
      <c r="B196" s="75"/>
      <c r="C196" s="77"/>
      <c r="D196" s="77"/>
      <c r="E196" s="75"/>
      <c r="F196" s="75"/>
      <c r="G196" s="77"/>
      <c r="H196" s="75"/>
      <c r="I196" s="75"/>
      <c r="J196" s="75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</row>
    <row r="197" spans="1:22" x14ac:dyDescent="0.25">
      <c r="A197" s="79"/>
      <c r="B197" s="75"/>
      <c r="C197" s="77"/>
      <c r="D197" s="77"/>
      <c r="E197" s="75"/>
      <c r="F197" s="75"/>
      <c r="G197" s="77"/>
      <c r="H197" s="75"/>
      <c r="I197" s="75"/>
      <c r="J197" s="75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</row>
    <row r="198" spans="1:22" x14ac:dyDescent="0.25">
      <c r="A198" s="79"/>
      <c r="B198" s="75"/>
      <c r="C198" s="77"/>
      <c r="D198" s="77"/>
      <c r="E198" s="75"/>
      <c r="F198" s="75"/>
      <c r="G198" s="77"/>
      <c r="H198" s="75"/>
      <c r="I198" s="75"/>
      <c r="J198" s="75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</row>
    <row r="199" spans="1:22" x14ac:dyDescent="0.25">
      <c r="A199" s="79"/>
      <c r="B199" s="75"/>
      <c r="C199" s="77"/>
      <c r="D199" s="77"/>
      <c r="E199" s="75"/>
      <c r="F199" s="75"/>
      <c r="G199" s="77"/>
      <c r="H199" s="75"/>
      <c r="I199" s="75"/>
      <c r="J199" s="75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</row>
    <row r="200" spans="1:22" x14ac:dyDescent="0.25">
      <c r="A200" s="79"/>
      <c r="B200" s="75"/>
      <c r="C200" s="77"/>
      <c r="D200" s="77"/>
      <c r="E200" s="75"/>
      <c r="F200" s="75"/>
      <c r="G200" s="77"/>
      <c r="H200" s="75"/>
      <c r="I200" s="75"/>
      <c r="J200" s="75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</row>
    <row r="201" spans="1:22" x14ac:dyDescent="0.25">
      <c r="A201" s="79"/>
      <c r="B201" s="75"/>
      <c r="C201" s="77"/>
      <c r="D201" s="77"/>
      <c r="E201" s="75"/>
      <c r="F201" s="75"/>
      <c r="G201" s="77"/>
      <c r="H201" s="75"/>
      <c r="I201" s="75"/>
      <c r="J201" s="75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</row>
    <row r="202" spans="1:22" x14ac:dyDescent="0.25">
      <c r="A202" s="79"/>
      <c r="B202" s="75"/>
      <c r="C202" s="77"/>
      <c r="D202" s="77"/>
      <c r="E202" s="75"/>
      <c r="F202" s="75"/>
      <c r="G202" s="77"/>
      <c r="H202" s="75"/>
      <c r="I202" s="75"/>
      <c r="J202" s="75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</row>
    <row r="203" spans="1:22" x14ac:dyDescent="0.25">
      <c r="A203" s="79"/>
      <c r="B203" s="75"/>
      <c r="C203" s="77"/>
      <c r="D203" s="77"/>
      <c r="E203" s="75"/>
      <c r="F203" s="75"/>
      <c r="G203" s="77"/>
      <c r="H203" s="75"/>
      <c r="I203" s="75"/>
      <c r="J203" s="75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</row>
    <row r="204" spans="1:22" x14ac:dyDescent="0.25">
      <c r="A204" s="79"/>
      <c r="B204" s="75"/>
      <c r="C204" s="77"/>
      <c r="D204" s="77"/>
      <c r="E204" s="75"/>
      <c r="F204" s="75"/>
      <c r="G204" s="77"/>
      <c r="H204" s="75"/>
      <c r="I204" s="75"/>
      <c r="J204" s="75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</row>
    <row r="205" spans="1:22" x14ac:dyDescent="0.25">
      <c r="A205" s="79"/>
      <c r="B205" s="75"/>
      <c r="C205" s="77"/>
      <c r="D205" s="77"/>
      <c r="E205" s="75"/>
      <c r="F205" s="75"/>
      <c r="G205" s="77"/>
      <c r="H205" s="75"/>
      <c r="I205" s="75"/>
      <c r="J205" s="75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</row>
    <row r="206" spans="1:22" x14ac:dyDescent="0.25">
      <c r="A206" s="79"/>
      <c r="B206" s="75"/>
      <c r="C206" s="77"/>
      <c r="D206" s="77"/>
      <c r="E206" s="75"/>
      <c r="F206" s="75"/>
      <c r="G206" s="77"/>
      <c r="H206" s="75"/>
      <c r="I206" s="75"/>
      <c r="J206" s="75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</row>
    <row r="207" spans="1:22" x14ac:dyDescent="0.25">
      <c r="A207" s="79"/>
      <c r="B207" s="75"/>
      <c r="C207" s="77"/>
      <c r="D207" s="77"/>
      <c r="E207" s="75"/>
      <c r="F207" s="75"/>
      <c r="G207" s="77"/>
      <c r="H207" s="75"/>
      <c r="I207" s="75"/>
      <c r="J207" s="75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</row>
    <row r="208" spans="1:22" x14ac:dyDescent="0.25">
      <c r="A208" s="79"/>
      <c r="B208" s="75"/>
      <c r="C208" s="77"/>
      <c r="D208" s="77"/>
      <c r="E208" s="75"/>
      <c r="F208" s="75"/>
      <c r="G208" s="77"/>
      <c r="H208" s="75"/>
      <c r="I208" s="75"/>
      <c r="J208" s="75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</row>
    <row r="209" spans="1:22" x14ac:dyDescent="0.25">
      <c r="A209" s="79"/>
      <c r="B209" s="75"/>
      <c r="C209" s="77"/>
      <c r="D209" s="77"/>
      <c r="E209" s="75"/>
      <c r="F209" s="75"/>
      <c r="G209" s="77"/>
      <c r="H209" s="75"/>
      <c r="I209" s="75"/>
      <c r="J209" s="75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</row>
    <row r="210" spans="1:22" x14ac:dyDescent="0.25">
      <c r="A210" s="79"/>
      <c r="B210" s="75"/>
      <c r="C210" s="77"/>
      <c r="D210" s="77"/>
      <c r="E210" s="75"/>
      <c r="F210" s="75"/>
      <c r="G210" s="77"/>
      <c r="H210" s="75"/>
      <c r="I210" s="75"/>
      <c r="J210" s="75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</row>
    <row r="211" spans="1:22" x14ac:dyDescent="0.25">
      <c r="A211" s="79"/>
      <c r="B211" s="75"/>
      <c r="C211" s="77"/>
      <c r="D211" s="77"/>
      <c r="E211" s="75"/>
      <c r="F211" s="75"/>
      <c r="G211" s="77"/>
      <c r="H211" s="75"/>
      <c r="I211" s="75"/>
      <c r="J211" s="75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</row>
    <row r="212" spans="1:22" x14ac:dyDescent="0.25">
      <c r="A212" s="79"/>
      <c r="B212" s="75"/>
      <c r="C212" s="77"/>
      <c r="D212" s="77"/>
      <c r="E212" s="75"/>
      <c r="F212" s="75"/>
      <c r="G212" s="77"/>
      <c r="H212" s="75"/>
      <c r="I212" s="75"/>
      <c r="J212" s="75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</row>
    <row r="213" spans="1:22" x14ac:dyDescent="0.25">
      <c r="A213" s="79"/>
      <c r="B213" s="75"/>
      <c r="C213" s="77"/>
      <c r="D213" s="77"/>
      <c r="E213" s="75"/>
      <c r="F213" s="75"/>
      <c r="G213" s="77"/>
      <c r="H213" s="75"/>
      <c r="I213" s="75"/>
      <c r="J213" s="75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</row>
    <row r="214" spans="1:22" x14ac:dyDescent="0.25">
      <c r="A214" s="79"/>
      <c r="B214" s="75"/>
      <c r="C214" s="77"/>
      <c r="D214" s="77"/>
      <c r="E214" s="75"/>
      <c r="F214" s="75"/>
      <c r="G214" s="77"/>
      <c r="H214" s="75"/>
      <c r="I214" s="75"/>
      <c r="J214" s="75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</row>
    <row r="215" spans="1:22" x14ac:dyDescent="0.25">
      <c r="A215" s="79"/>
      <c r="B215" s="75"/>
      <c r="C215" s="77"/>
      <c r="D215" s="77"/>
      <c r="E215" s="75"/>
      <c r="F215" s="75"/>
      <c r="G215" s="77"/>
      <c r="H215" s="75"/>
      <c r="I215" s="75"/>
      <c r="J215" s="75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</row>
    <row r="216" spans="1:22" x14ac:dyDescent="0.25">
      <c r="A216" s="79"/>
      <c r="B216" s="75"/>
      <c r="C216" s="77"/>
      <c r="D216" s="77"/>
      <c r="E216" s="75"/>
      <c r="F216" s="75"/>
      <c r="G216" s="77"/>
      <c r="H216" s="75"/>
      <c r="I216" s="75"/>
      <c r="J216" s="75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</row>
    <row r="217" spans="1:22" ht="15.75" thickBot="1" x14ac:dyDescent="0.3">
      <c r="A217" s="80"/>
      <c r="B217" s="75"/>
      <c r="C217" s="81"/>
      <c r="D217" s="81"/>
      <c r="E217" s="82"/>
      <c r="F217" s="82"/>
      <c r="G217" s="81"/>
      <c r="H217" s="82"/>
      <c r="I217" s="82"/>
      <c r="J217" s="82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</row>
    <row r="218" spans="1:22" x14ac:dyDescent="0.25"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</row>
    <row r="219" spans="1:22" x14ac:dyDescent="0.25"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</row>
    <row r="220" spans="1:22" x14ac:dyDescent="0.25"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</row>
    <row r="221" spans="1:22" x14ac:dyDescent="0.25"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</row>
    <row r="222" spans="1:22" x14ac:dyDescent="0.25"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</row>
    <row r="223" spans="1:22" x14ac:dyDescent="0.25"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</row>
    <row r="224" spans="1:22" x14ac:dyDescent="0.25"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</row>
    <row r="225" spans="11:22" x14ac:dyDescent="0.25"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</row>
  </sheetData>
  <phoneticPr fontId="3" type="noConversion"/>
  <conditionalFormatting sqref="B3:B217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4E126-F4A5-48A0-B2F7-144D6BCBDD44}">
  <sheetPr codeName="Sheet4">
    <tabColor theme="8" tint="0.39997558519241921"/>
  </sheetPr>
  <dimension ref="A1:P29"/>
  <sheetViews>
    <sheetView workbookViewId="0">
      <selection activeCell="D14" sqref="D14"/>
    </sheetView>
  </sheetViews>
  <sheetFormatPr defaultRowHeight="15" x14ac:dyDescent="0.25"/>
  <cols>
    <col min="1" max="1" width="7.28515625" customWidth="1"/>
    <col min="2" max="2" width="15" customWidth="1"/>
    <col min="3" max="3" width="17" customWidth="1"/>
    <col min="4" max="4" width="13.5703125" customWidth="1"/>
    <col min="5" max="5" width="13.7109375" customWidth="1"/>
    <col min="6" max="6" width="11.5703125" customWidth="1"/>
    <col min="7" max="7" width="14.7109375" customWidth="1"/>
    <col min="8" max="8" width="20.140625" customWidth="1"/>
    <col min="9" max="9" width="20.42578125" customWidth="1"/>
  </cols>
  <sheetData>
    <row r="1" spans="1:16" ht="33.75" customHeight="1" thickBot="1" x14ac:dyDescent="0.3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30" customHeight="1" thickBot="1" x14ac:dyDescent="0.3">
      <c r="A2" s="31"/>
      <c r="B2" s="140" t="s">
        <v>39</v>
      </c>
      <c r="C2" s="141"/>
      <c r="D2" s="96" t="s">
        <v>1</v>
      </c>
      <c r="E2" s="97" t="s">
        <v>49</v>
      </c>
      <c r="F2" s="97" t="s">
        <v>50</v>
      </c>
      <c r="G2" s="97" t="s">
        <v>48</v>
      </c>
      <c r="H2" s="98" t="s">
        <v>51</v>
      </c>
      <c r="I2" s="53"/>
      <c r="J2" s="31"/>
      <c r="K2" s="31"/>
      <c r="L2" s="31"/>
      <c r="M2" s="31"/>
      <c r="N2" s="31"/>
      <c r="O2" s="31"/>
      <c r="P2" s="31"/>
    </row>
    <row r="3" spans="1:16" ht="20.25" customHeight="1" x14ac:dyDescent="0.25">
      <c r="A3" s="31"/>
      <c r="B3" s="90" t="s">
        <v>40</v>
      </c>
      <c r="C3" s="91" t="s">
        <v>44</v>
      </c>
      <c r="D3" s="92" t="s">
        <v>57</v>
      </c>
      <c r="E3" s="92">
        <v>2019</v>
      </c>
      <c r="F3" s="92" t="s">
        <v>56</v>
      </c>
      <c r="G3" s="92">
        <v>3100</v>
      </c>
      <c r="H3" s="93" t="s">
        <v>52</v>
      </c>
      <c r="I3" s="52"/>
      <c r="J3" s="31"/>
      <c r="K3" s="31"/>
      <c r="L3" s="31"/>
      <c r="M3" s="31"/>
      <c r="N3" s="31"/>
      <c r="O3" s="31"/>
      <c r="P3" s="31"/>
    </row>
    <row r="4" spans="1:16" ht="20.25" customHeight="1" x14ac:dyDescent="0.25">
      <c r="A4" s="31"/>
      <c r="B4" s="90" t="s">
        <v>41</v>
      </c>
      <c r="C4" s="91" t="s">
        <v>45</v>
      </c>
      <c r="D4" s="92" t="s">
        <v>58</v>
      </c>
      <c r="E4" s="92">
        <v>2015</v>
      </c>
      <c r="F4" s="92" t="s">
        <v>56</v>
      </c>
      <c r="G4" s="92">
        <v>3600</v>
      </c>
      <c r="H4" s="93" t="s">
        <v>53</v>
      </c>
      <c r="I4" s="52"/>
      <c r="J4" s="31"/>
      <c r="K4" s="31"/>
      <c r="L4" s="31"/>
      <c r="M4" s="31"/>
      <c r="N4" s="31"/>
      <c r="O4" s="31"/>
      <c r="P4" s="31"/>
    </row>
    <row r="5" spans="1:16" ht="20.25" customHeight="1" x14ac:dyDescent="0.25">
      <c r="A5" s="31"/>
      <c r="B5" s="90" t="s">
        <v>42</v>
      </c>
      <c r="C5" s="91" t="s">
        <v>46</v>
      </c>
      <c r="D5" s="92" t="s">
        <v>59</v>
      </c>
      <c r="E5" s="92">
        <v>2024</v>
      </c>
      <c r="F5" s="92" t="s">
        <v>55</v>
      </c>
      <c r="G5" s="92">
        <v>2600</v>
      </c>
      <c r="H5" s="93" t="s">
        <v>54</v>
      </c>
      <c r="I5" s="52"/>
      <c r="J5" s="31"/>
      <c r="K5" s="31"/>
      <c r="L5" s="31"/>
      <c r="M5" s="31"/>
      <c r="N5" s="31"/>
      <c r="O5" s="31"/>
      <c r="P5" s="31"/>
    </row>
    <row r="6" spans="1:16" ht="20.25" customHeight="1" x14ac:dyDescent="0.25">
      <c r="A6" s="31"/>
      <c r="B6" s="90" t="s">
        <v>43</v>
      </c>
      <c r="C6" s="91" t="s">
        <v>47</v>
      </c>
      <c r="D6" s="92" t="s">
        <v>60</v>
      </c>
      <c r="E6" s="92">
        <v>2023</v>
      </c>
      <c r="F6" s="92" t="s">
        <v>55</v>
      </c>
      <c r="G6" s="92">
        <v>2700</v>
      </c>
      <c r="H6" s="93" t="s">
        <v>53</v>
      </c>
      <c r="I6" s="52"/>
      <c r="J6" s="31"/>
      <c r="K6" s="31"/>
      <c r="L6" s="31"/>
      <c r="M6" s="31"/>
      <c r="N6" s="31"/>
      <c r="O6" s="31"/>
      <c r="P6" s="31"/>
    </row>
    <row r="7" spans="1:16" ht="20.25" customHeight="1" x14ac:dyDescent="0.25">
      <c r="A7" s="31"/>
      <c r="B7" s="90"/>
      <c r="C7" s="91"/>
      <c r="D7" s="92"/>
      <c r="E7" s="92"/>
      <c r="F7" s="92"/>
      <c r="G7" s="92"/>
      <c r="H7" s="93"/>
      <c r="I7" s="52"/>
      <c r="J7" s="31"/>
      <c r="K7" s="31"/>
      <c r="L7" s="31"/>
      <c r="M7" s="31"/>
      <c r="N7" s="31"/>
      <c r="O7" s="31"/>
      <c r="P7" s="31"/>
    </row>
    <row r="8" spans="1:16" ht="20.25" customHeight="1" x14ac:dyDescent="0.25">
      <c r="A8" s="31"/>
      <c r="B8" s="90"/>
      <c r="H8" s="93"/>
      <c r="I8" s="52"/>
      <c r="J8" s="31"/>
      <c r="K8" s="31"/>
      <c r="L8" s="31"/>
      <c r="M8" s="31"/>
      <c r="N8" s="31"/>
      <c r="O8" s="31"/>
      <c r="P8" s="31"/>
    </row>
    <row r="9" spans="1:16" ht="20.25" customHeight="1" thickBot="1" x14ac:dyDescent="0.3">
      <c r="A9" s="31"/>
      <c r="B9" s="90"/>
      <c r="H9" s="93"/>
      <c r="I9" s="52"/>
      <c r="J9" s="31"/>
      <c r="K9" s="31"/>
      <c r="L9" s="31"/>
      <c r="M9" s="31"/>
      <c r="N9" s="31"/>
      <c r="O9" s="31"/>
      <c r="P9" s="31"/>
    </row>
    <row r="10" spans="1:16" ht="34.5" customHeight="1" x14ac:dyDescent="0.25">
      <c r="A10" s="31"/>
      <c r="B10" s="94"/>
      <c r="C10" s="94"/>
      <c r="D10" s="95"/>
      <c r="E10" s="95"/>
      <c r="F10" s="99" t="s">
        <v>66</v>
      </c>
      <c r="G10" s="100" t="str">
        <f>SUM(G3:G7) &amp; "    Dh"</f>
        <v>12000    Dh</v>
      </c>
      <c r="H10" s="95"/>
      <c r="I10" s="52"/>
      <c r="J10" s="31"/>
      <c r="K10" s="31"/>
      <c r="L10" s="31"/>
      <c r="M10" s="31"/>
      <c r="N10" s="31"/>
      <c r="O10" s="31"/>
      <c r="P10" s="31"/>
    </row>
    <row r="11" spans="1:16" ht="15.75" x14ac:dyDescent="0.25">
      <c r="A11" s="31"/>
      <c r="B11" s="51"/>
      <c r="C11" s="51"/>
      <c r="D11" s="52"/>
      <c r="E11" s="52"/>
      <c r="F11" s="52"/>
      <c r="G11" s="52"/>
      <c r="H11" s="52"/>
      <c r="I11" s="52"/>
      <c r="J11" s="31"/>
      <c r="K11" s="31"/>
      <c r="L11" s="31"/>
      <c r="M11" s="31"/>
      <c r="N11" s="31"/>
      <c r="O11" s="31"/>
      <c r="P11" s="31"/>
    </row>
    <row r="12" spans="1:16" ht="15.75" x14ac:dyDescent="0.25">
      <c r="A12" s="31"/>
      <c r="B12" s="51"/>
      <c r="C12" s="51"/>
      <c r="D12" s="52"/>
      <c r="E12" s="52"/>
      <c r="F12" s="52"/>
      <c r="G12" s="52"/>
      <c r="H12" s="52"/>
      <c r="I12" s="52"/>
      <c r="J12" s="31"/>
      <c r="K12" s="31"/>
      <c r="L12" s="31"/>
      <c r="M12" s="31"/>
      <c r="N12" s="31"/>
      <c r="O12" s="31"/>
      <c r="P12" s="31"/>
    </row>
    <row r="13" spans="1:16" ht="15.75" x14ac:dyDescent="0.25">
      <c r="A13" s="31"/>
      <c r="B13" s="51"/>
      <c r="C13" s="51"/>
      <c r="D13" s="52"/>
      <c r="E13" s="52" t="s">
        <v>70</v>
      </c>
      <c r="F13" s="52"/>
      <c r="G13" s="52"/>
      <c r="H13" s="52"/>
      <c r="I13" s="52"/>
      <c r="J13" s="31"/>
      <c r="K13" s="31"/>
      <c r="L13" s="31"/>
      <c r="M13" s="31"/>
      <c r="N13" s="31"/>
      <c r="O13" s="31"/>
      <c r="P13" s="31"/>
    </row>
    <row r="14" spans="1:16" ht="15.75" x14ac:dyDescent="0.25">
      <c r="A14" s="31"/>
      <c r="B14" s="51"/>
      <c r="C14" s="51"/>
      <c r="D14" s="52"/>
      <c r="E14" s="52"/>
      <c r="F14" s="52"/>
      <c r="G14" s="52"/>
      <c r="H14" s="52"/>
      <c r="I14" s="52"/>
      <c r="J14" s="31"/>
      <c r="K14" s="31"/>
      <c r="L14" s="31"/>
      <c r="M14" s="31"/>
      <c r="N14" s="31"/>
      <c r="O14" s="31"/>
      <c r="P14" s="31"/>
    </row>
    <row r="15" spans="1:16" ht="15.75" x14ac:dyDescent="0.25">
      <c r="A15" s="31"/>
      <c r="B15" s="51"/>
      <c r="C15" s="51"/>
      <c r="D15" s="52"/>
      <c r="E15" s="52"/>
      <c r="F15" s="52"/>
      <c r="G15" s="52"/>
      <c r="H15" s="52"/>
      <c r="I15" s="52"/>
      <c r="J15" s="31"/>
      <c r="K15" s="31"/>
      <c r="L15" s="31"/>
      <c r="M15" s="31"/>
      <c r="N15" s="31"/>
      <c r="O15" s="31"/>
      <c r="P15" s="31"/>
    </row>
    <row r="16" spans="1:16" ht="15.75" x14ac:dyDescent="0.25">
      <c r="A16" s="31"/>
      <c r="B16" s="51"/>
      <c r="C16" s="51"/>
      <c r="D16" s="52"/>
      <c r="E16" s="52"/>
      <c r="F16" s="52"/>
      <c r="G16" s="52"/>
      <c r="H16" s="52"/>
      <c r="I16" s="52"/>
      <c r="J16" s="31"/>
      <c r="K16" s="31"/>
      <c r="L16" s="31"/>
      <c r="M16" s="31"/>
      <c r="N16" s="31"/>
      <c r="O16" s="31"/>
      <c r="P16" s="31"/>
    </row>
    <row r="17" spans="1:16" ht="15.75" x14ac:dyDescent="0.25">
      <c r="A17" s="31"/>
      <c r="B17" s="51"/>
      <c r="C17" s="51"/>
      <c r="D17" s="52"/>
      <c r="E17" s="52"/>
      <c r="F17" s="52"/>
      <c r="G17" s="52"/>
      <c r="H17" s="52"/>
      <c r="I17" s="52"/>
      <c r="J17" s="31"/>
      <c r="K17" s="31"/>
      <c r="L17" s="31"/>
      <c r="M17" s="31"/>
      <c r="N17" s="31"/>
      <c r="O17" s="31"/>
      <c r="P17" s="31"/>
    </row>
    <row r="18" spans="1:16" ht="15.75" x14ac:dyDescent="0.25">
      <c r="A18" s="31"/>
      <c r="B18" s="51"/>
      <c r="C18" s="51"/>
      <c r="D18" s="52"/>
      <c r="E18" s="52"/>
      <c r="F18" s="52"/>
      <c r="G18" s="52"/>
      <c r="H18" s="52"/>
      <c r="I18" s="52"/>
      <c r="J18" s="31"/>
      <c r="K18" s="31"/>
      <c r="L18" s="31"/>
      <c r="M18" s="31"/>
      <c r="N18" s="31"/>
      <c r="O18" s="31"/>
      <c r="P18" s="31"/>
    </row>
    <row r="19" spans="1:16" ht="15.75" x14ac:dyDescent="0.25">
      <c r="A19" s="31"/>
      <c r="B19" s="51"/>
      <c r="C19" s="51"/>
      <c r="D19" s="52"/>
      <c r="E19" s="52"/>
      <c r="F19" s="52"/>
      <c r="G19" s="52"/>
      <c r="H19" s="52"/>
      <c r="I19" s="52"/>
      <c r="J19" s="31"/>
      <c r="K19" s="31"/>
      <c r="L19" s="31"/>
      <c r="M19" s="31"/>
      <c r="N19" s="31"/>
      <c r="O19" s="31"/>
      <c r="P19" s="31"/>
    </row>
    <row r="20" spans="1:16" ht="15.75" x14ac:dyDescent="0.25">
      <c r="A20" s="31"/>
      <c r="B20" s="51"/>
      <c r="C20" s="51"/>
      <c r="D20" s="52"/>
      <c r="E20" s="52"/>
      <c r="F20" s="52"/>
      <c r="G20" s="52"/>
      <c r="H20" s="52"/>
      <c r="I20" s="52"/>
      <c r="J20" s="31"/>
      <c r="K20" s="31"/>
      <c r="L20" s="31"/>
      <c r="M20" s="31"/>
      <c r="N20" s="31"/>
      <c r="O20" s="31"/>
      <c r="P20" s="31"/>
    </row>
    <row r="21" spans="1:16" ht="15.75" x14ac:dyDescent="0.25">
      <c r="A21" s="31"/>
      <c r="B21" s="51"/>
      <c r="C21" s="51"/>
      <c r="D21" s="52"/>
      <c r="E21" s="52"/>
      <c r="F21" s="52"/>
      <c r="G21" s="52"/>
      <c r="H21" s="52"/>
      <c r="I21" s="52"/>
      <c r="J21" s="31"/>
      <c r="K21" s="31"/>
      <c r="L21" s="31"/>
      <c r="M21" s="31"/>
      <c r="N21" s="31"/>
      <c r="O21" s="31"/>
      <c r="P21" s="31"/>
    </row>
    <row r="22" spans="1:16" ht="15.75" x14ac:dyDescent="0.25">
      <c r="A22" s="31"/>
      <c r="B22" s="51"/>
      <c r="C22" s="51"/>
      <c r="D22" s="52"/>
      <c r="E22" s="52"/>
      <c r="F22" s="52"/>
      <c r="G22" s="52"/>
      <c r="H22" s="52"/>
      <c r="I22" s="52"/>
      <c r="J22" s="31"/>
      <c r="K22" s="31"/>
      <c r="L22" s="31"/>
      <c r="M22" s="31"/>
      <c r="N22" s="31"/>
      <c r="O22" s="31"/>
      <c r="P22" s="31"/>
    </row>
    <row r="23" spans="1:16" x14ac:dyDescent="0.25">
      <c r="A23" s="31"/>
      <c r="B23" s="31"/>
      <c r="C23" s="31"/>
      <c r="D23" s="32"/>
      <c r="E23" s="32"/>
      <c r="F23" s="32"/>
      <c r="G23" s="32"/>
      <c r="H23" s="32"/>
      <c r="I23" s="32"/>
      <c r="J23" s="31"/>
      <c r="K23" s="31"/>
      <c r="L23" s="31"/>
      <c r="M23" s="31"/>
      <c r="N23" s="31"/>
      <c r="O23" s="31"/>
      <c r="P23" s="31"/>
    </row>
    <row r="24" spans="1:16" x14ac:dyDescent="0.25">
      <c r="A24" s="31"/>
      <c r="B24" s="31"/>
      <c r="C24" s="31"/>
      <c r="D24" s="32"/>
      <c r="E24" s="32"/>
      <c r="F24" s="32"/>
      <c r="G24" s="32"/>
      <c r="H24" s="32"/>
      <c r="I24" s="32"/>
      <c r="J24" s="31"/>
      <c r="K24" s="31"/>
      <c r="L24" s="31"/>
      <c r="M24" s="31"/>
      <c r="N24" s="31"/>
      <c r="O24" s="31"/>
      <c r="P24" s="31"/>
    </row>
    <row r="25" spans="1:16" x14ac:dyDescent="0.25">
      <c r="A25" s="31"/>
      <c r="B25" s="31"/>
      <c r="C25" s="31"/>
      <c r="D25" s="32"/>
      <c r="E25" s="32"/>
      <c r="F25" s="32"/>
      <c r="G25" s="32"/>
      <c r="H25" s="32"/>
      <c r="I25" s="32"/>
      <c r="J25" s="31"/>
      <c r="K25" s="31"/>
      <c r="L25" s="31"/>
      <c r="M25" s="31"/>
      <c r="N25" s="31"/>
      <c r="O25" s="31"/>
      <c r="P25" s="31"/>
    </row>
    <row r="26" spans="1:16" x14ac:dyDescent="0.25">
      <c r="D26" s="1"/>
      <c r="E26" s="1"/>
      <c r="F26" s="1"/>
      <c r="G26" s="1"/>
      <c r="H26" s="1"/>
      <c r="I26" s="32"/>
      <c r="J26" s="31"/>
      <c r="K26" s="31"/>
      <c r="L26" s="31"/>
      <c r="M26" s="31"/>
      <c r="N26" s="31"/>
      <c r="O26" s="31"/>
      <c r="P26" s="31"/>
    </row>
    <row r="27" spans="1:16" x14ac:dyDescent="0.25">
      <c r="D27" s="1"/>
      <c r="E27" s="1"/>
      <c r="F27" s="1"/>
      <c r="G27" s="1"/>
      <c r="H27" s="1"/>
      <c r="I27" s="32"/>
      <c r="J27" s="31"/>
      <c r="K27" s="31"/>
      <c r="L27" s="31"/>
      <c r="M27" s="31"/>
      <c r="N27" s="31"/>
      <c r="O27" s="31"/>
      <c r="P27" s="31"/>
    </row>
    <row r="28" spans="1:16" x14ac:dyDescent="0.25">
      <c r="D28" s="1"/>
      <c r="E28" s="1"/>
      <c r="F28" s="1"/>
      <c r="G28" s="1"/>
      <c r="H28" s="1"/>
      <c r="I28" s="32"/>
      <c r="J28" s="31"/>
      <c r="K28" s="31"/>
      <c r="L28" s="31"/>
      <c r="M28" s="31"/>
      <c r="N28" s="31"/>
      <c r="O28" s="31"/>
      <c r="P28" s="31"/>
    </row>
    <row r="29" spans="1:16" x14ac:dyDescent="0.25">
      <c r="I29" s="31"/>
      <c r="J29" s="31"/>
      <c r="K29" s="31"/>
      <c r="L29" s="31"/>
      <c r="M29" s="31"/>
      <c r="N29" s="31"/>
      <c r="O29" s="31"/>
      <c r="P29" s="31"/>
    </row>
  </sheetData>
  <mergeCells count="1">
    <mergeCell ref="B2:C2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Accueil</vt:lpstr>
      <vt:lpstr>Comptabilité</vt:lpstr>
      <vt:lpstr>Etudiants</vt:lpstr>
      <vt:lpstr>Profs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Mouad Pc</dc:creator>
  <cp:lastModifiedBy>MOUAD PC Local</cp:lastModifiedBy>
  <dcterms:created xsi:type="dcterms:W3CDTF">2024-10-09T00:22:10Z</dcterms:created>
  <dcterms:modified xsi:type="dcterms:W3CDTF">2025-02-12T18:40:08Z</dcterms:modified>
</cp:coreProperties>
</file>